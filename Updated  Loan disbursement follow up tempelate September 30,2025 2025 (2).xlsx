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empo\Music\"/>
    </mc:Choice>
  </mc:AlternateContent>
  <bookViews>
    <workbookView xWindow="0" yWindow="0" windowWidth="20490" windowHeight="7650"/>
  </bookViews>
  <sheets>
    <sheet name="loan dist_data " sheetId="2" r:id="rId1"/>
  </sheets>
  <definedNames>
    <definedName name="_xlnm._FilterDatabase" localSheetId="0" hidden="1">'loan dist_data '!$A$1:$Q$340</definedName>
  </definedNames>
  <calcPr calcId="162913"/>
</workbook>
</file>

<file path=xl/calcChain.xml><?xml version="1.0" encoding="utf-8"?>
<calcChain xmlns="http://schemas.openxmlformats.org/spreadsheetml/2006/main">
  <c r="O179" i="2" l="1"/>
  <c r="N179" i="2"/>
  <c r="I179" i="2"/>
  <c r="O178" i="2"/>
  <c r="N178" i="2"/>
  <c r="I178" i="2"/>
  <c r="O177" i="2"/>
  <c r="N177" i="2"/>
  <c r="I177" i="2" s="1"/>
  <c r="O176" i="2"/>
  <c r="N176" i="2"/>
  <c r="I176" i="2"/>
  <c r="O175" i="2"/>
  <c r="N175" i="2"/>
  <c r="I175" i="2"/>
  <c r="O174" i="2"/>
  <c r="N174" i="2"/>
  <c r="I174" i="2" s="1"/>
  <c r="O173" i="2"/>
  <c r="N173" i="2"/>
  <c r="I173" i="2" s="1"/>
  <c r="O172" i="2"/>
  <c r="N172" i="2"/>
  <c r="I172" i="2" s="1"/>
  <c r="O171" i="2"/>
  <c r="N171" i="2"/>
  <c r="I171" i="2" s="1"/>
  <c r="O170" i="2"/>
  <c r="N170" i="2"/>
  <c r="I170" i="2"/>
  <c r="O169" i="2"/>
  <c r="N169" i="2"/>
  <c r="I169" i="2" s="1"/>
  <c r="O168" i="2"/>
  <c r="N168" i="2"/>
  <c r="I168" i="2" s="1"/>
  <c r="O167" i="2"/>
  <c r="N167" i="2"/>
  <c r="I167" i="2" s="1"/>
  <c r="O166" i="2"/>
  <c r="N166" i="2"/>
  <c r="I166" i="2"/>
  <c r="O431" i="2"/>
  <c r="N431" i="2"/>
  <c r="I431" i="2" s="1"/>
  <c r="O430" i="2"/>
  <c r="N430" i="2"/>
  <c r="I430" i="2" s="1"/>
  <c r="O429" i="2"/>
  <c r="N429" i="2"/>
  <c r="I429" i="2"/>
  <c r="O428" i="2"/>
  <c r="N428" i="2"/>
  <c r="I428" i="2" s="1"/>
  <c r="O427" i="2"/>
  <c r="N427" i="2"/>
  <c r="I427" i="2" s="1"/>
  <c r="O426" i="2"/>
  <c r="N426" i="2"/>
  <c r="I426" i="2" s="1"/>
  <c r="O425" i="2"/>
  <c r="N425" i="2"/>
  <c r="I425" i="2" s="1"/>
  <c r="O424" i="2"/>
  <c r="N424" i="2"/>
  <c r="I424" i="2" s="1"/>
  <c r="O423" i="2"/>
  <c r="N423" i="2"/>
  <c r="I423" i="2" s="1"/>
  <c r="O422" i="2"/>
  <c r="N422" i="2"/>
  <c r="I422" i="2" s="1"/>
  <c r="O421" i="2"/>
  <c r="N421" i="2"/>
  <c r="I421" i="2" s="1"/>
  <c r="O420" i="2"/>
  <c r="N420" i="2"/>
  <c r="I420" i="2"/>
  <c r="O419" i="2"/>
  <c r="N419" i="2"/>
  <c r="I419" i="2" s="1"/>
  <c r="O418" i="2"/>
  <c r="N418" i="2"/>
  <c r="I418" i="2" s="1"/>
  <c r="O417" i="2"/>
  <c r="N417" i="2"/>
  <c r="I417" i="2"/>
  <c r="O416" i="2"/>
  <c r="N416" i="2"/>
  <c r="I416" i="2" s="1"/>
  <c r="O415" i="2"/>
  <c r="N415" i="2"/>
  <c r="I415" i="2" s="1"/>
  <c r="O414" i="2"/>
  <c r="N414" i="2"/>
  <c r="I414" i="2" s="1"/>
  <c r="O413" i="2"/>
  <c r="N413" i="2"/>
  <c r="I413" i="2" s="1"/>
  <c r="O31" i="2"/>
  <c r="N31" i="2"/>
  <c r="I31" i="2" s="1"/>
  <c r="O30" i="2"/>
  <c r="N30" i="2"/>
  <c r="I30" i="2" s="1"/>
  <c r="O29" i="2"/>
  <c r="N29" i="2"/>
  <c r="I29" i="2" s="1"/>
  <c r="O28" i="2"/>
  <c r="N28" i="2"/>
  <c r="I28" i="2" s="1"/>
  <c r="O27" i="2"/>
  <c r="N27" i="2"/>
  <c r="I27" i="2"/>
  <c r="O26" i="2"/>
  <c r="N26" i="2"/>
  <c r="I26" i="2" s="1"/>
  <c r="O25" i="2"/>
  <c r="N25" i="2"/>
  <c r="I25" i="2" s="1"/>
  <c r="O24" i="2"/>
  <c r="N24" i="2"/>
  <c r="I24" i="2" s="1"/>
  <c r="O23" i="2"/>
  <c r="N23" i="2"/>
  <c r="I23" i="2" s="1"/>
  <c r="O22" i="2"/>
  <c r="N22" i="2"/>
  <c r="I22" i="2" s="1"/>
  <c r="O21" i="2"/>
  <c r="N21" i="2"/>
  <c r="I21" i="2" s="1"/>
  <c r="O20" i="2"/>
  <c r="N20" i="2"/>
  <c r="I20" i="2" s="1"/>
  <c r="O19" i="2"/>
  <c r="N19" i="2"/>
  <c r="I19" i="2" s="1"/>
  <c r="O18" i="2"/>
  <c r="N18" i="2"/>
  <c r="I18" i="2" s="1"/>
  <c r="O17" i="2"/>
  <c r="N17" i="2"/>
  <c r="I17" i="2" s="1"/>
  <c r="O16" i="2"/>
  <c r="N16" i="2"/>
  <c r="I16" i="2" s="1"/>
  <c r="O15" i="2"/>
  <c r="N15" i="2"/>
  <c r="I15" i="2" s="1"/>
  <c r="O14" i="2"/>
  <c r="N14" i="2"/>
  <c r="I14" i="2" s="1"/>
  <c r="O13" i="2"/>
  <c r="N13" i="2"/>
  <c r="I13" i="2" s="1"/>
  <c r="O12" i="2"/>
  <c r="N12" i="2"/>
  <c r="I12" i="2" s="1"/>
  <c r="O11" i="2"/>
  <c r="N11" i="2"/>
  <c r="I11" i="2"/>
  <c r="O10" i="2"/>
  <c r="N10" i="2"/>
  <c r="I10" i="2" s="1"/>
  <c r="O9" i="2"/>
  <c r="N9" i="2"/>
  <c r="I9" i="2" s="1"/>
  <c r="O8" i="2"/>
  <c r="N8" i="2"/>
  <c r="I8" i="2" s="1"/>
  <c r="O7" i="2"/>
  <c r="N7" i="2"/>
  <c r="I7" i="2" s="1"/>
  <c r="O6" i="2"/>
  <c r="N6" i="2"/>
  <c r="I6" i="2" s="1"/>
  <c r="O5" i="2"/>
  <c r="N5" i="2"/>
  <c r="I5" i="2" s="1"/>
  <c r="O4" i="2"/>
  <c r="N4" i="2"/>
  <c r="I4" i="2" s="1"/>
  <c r="O3" i="2"/>
  <c r="N3" i="2"/>
  <c r="I3" i="2"/>
  <c r="O2" i="2"/>
  <c r="N2" i="2"/>
  <c r="I2" i="2" s="1"/>
  <c r="O412" i="2"/>
  <c r="N412" i="2"/>
  <c r="I412" i="2" s="1"/>
  <c r="O411" i="2"/>
  <c r="N411" i="2"/>
  <c r="I411" i="2" s="1"/>
  <c r="O410" i="2"/>
  <c r="N410" i="2"/>
  <c r="I410" i="2"/>
  <c r="O409" i="2"/>
  <c r="N409" i="2"/>
  <c r="I409" i="2" s="1"/>
  <c r="O408" i="2"/>
  <c r="N408" i="2"/>
  <c r="I408" i="2" s="1"/>
  <c r="O407" i="2"/>
  <c r="N407" i="2"/>
  <c r="I407" i="2"/>
  <c r="O406" i="2"/>
  <c r="N406" i="2"/>
  <c r="I406" i="2" s="1"/>
  <c r="O405" i="2"/>
  <c r="N405" i="2"/>
  <c r="I405" i="2" s="1"/>
  <c r="O404" i="2"/>
  <c r="N404" i="2"/>
  <c r="I404" i="2" s="1"/>
  <c r="O403" i="2"/>
  <c r="N403" i="2"/>
  <c r="I403" i="2" s="1"/>
  <c r="O402" i="2"/>
  <c r="N402" i="2"/>
  <c r="I402" i="2"/>
  <c r="O401" i="2"/>
  <c r="N401" i="2"/>
  <c r="I401" i="2" s="1"/>
  <c r="O400" i="2"/>
  <c r="N400" i="2"/>
  <c r="I400" i="2" s="1"/>
  <c r="O399" i="2"/>
  <c r="N399" i="2"/>
  <c r="I399" i="2" s="1"/>
  <c r="O398" i="2"/>
  <c r="N398" i="2"/>
  <c r="I398" i="2"/>
  <c r="O397" i="2"/>
  <c r="N397" i="2"/>
  <c r="I397" i="2" s="1"/>
  <c r="O396" i="2"/>
  <c r="N396" i="2"/>
  <c r="I396" i="2" s="1"/>
  <c r="O395" i="2"/>
  <c r="N395" i="2"/>
  <c r="I395" i="2"/>
  <c r="O394" i="2"/>
  <c r="N394" i="2"/>
  <c r="I394" i="2" s="1"/>
  <c r="O393" i="2"/>
  <c r="N393" i="2"/>
  <c r="I393" i="2" s="1"/>
  <c r="O392" i="2"/>
  <c r="N392" i="2"/>
  <c r="I392" i="2" s="1"/>
  <c r="O391" i="2"/>
  <c r="N391" i="2"/>
  <c r="I391" i="2" s="1"/>
  <c r="O390" i="2"/>
  <c r="N390" i="2"/>
  <c r="I390" i="2" s="1"/>
  <c r="O389" i="2"/>
  <c r="N389" i="2"/>
  <c r="I389" i="2" s="1"/>
  <c r="O388" i="2"/>
  <c r="N388" i="2"/>
  <c r="I388" i="2" s="1"/>
  <c r="O387" i="2"/>
  <c r="N387" i="2"/>
  <c r="I387" i="2" s="1"/>
  <c r="O386" i="2"/>
  <c r="N386" i="2"/>
  <c r="I386" i="2"/>
  <c r="O385" i="2"/>
  <c r="N385" i="2"/>
  <c r="I385" i="2" s="1"/>
  <c r="O384" i="2"/>
  <c r="N384" i="2"/>
  <c r="I384" i="2"/>
  <c r="O383" i="2"/>
  <c r="N383" i="2"/>
  <c r="I383" i="2"/>
  <c r="O382" i="2"/>
  <c r="N382" i="2"/>
  <c r="I382" i="2" s="1"/>
  <c r="O381" i="2"/>
  <c r="N381" i="2"/>
  <c r="I381" i="2" s="1"/>
  <c r="O380" i="2"/>
  <c r="N380" i="2"/>
  <c r="I380" i="2" s="1"/>
  <c r="O379" i="2"/>
  <c r="N379" i="2"/>
  <c r="I379" i="2" s="1"/>
  <c r="O378" i="2"/>
  <c r="N378" i="2"/>
  <c r="I378" i="2" s="1"/>
  <c r="O377" i="2"/>
  <c r="N377" i="2"/>
  <c r="I377" i="2" s="1"/>
  <c r="O376" i="2"/>
  <c r="N376" i="2"/>
  <c r="I376" i="2" s="1"/>
  <c r="O375" i="2"/>
  <c r="N375" i="2"/>
  <c r="I375" i="2" s="1"/>
  <c r="O374" i="2"/>
  <c r="N374" i="2"/>
  <c r="I374" i="2"/>
  <c r="O373" i="2"/>
  <c r="N373" i="2"/>
  <c r="I373" i="2" s="1"/>
  <c r="O372" i="2"/>
  <c r="N372" i="2"/>
  <c r="I372" i="2" s="1"/>
  <c r="O371" i="2"/>
  <c r="N371" i="2"/>
  <c r="I371" i="2" s="1"/>
  <c r="O370" i="2"/>
  <c r="N370" i="2"/>
  <c r="I370" i="2" s="1"/>
  <c r="O369" i="2"/>
  <c r="N369" i="2"/>
  <c r="I369" i="2" s="1"/>
  <c r="O368" i="2"/>
  <c r="N368" i="2"/>
  <c r="I368" i="2"/>
  <c r="O367" i="2"/>
  <c r="N367" i="2"/>
  <c r="I367" i="2" s="1"/>
  <c r="O366" i="2"/>
  <c r="N366" i="2"/>
  <c r="I366" i="2" s="1"/>
  <c r="O365" i="2"/>
  <c r="N365" i="2"/>
  <c r="I365" i="2" s="1"/>
  <c r="O364" i="2"/>
  <c r="N364" i="2"/>
  <c r="I364" i="2" s="1"/>
  <c r="O363" i="2"/>
  <c r="N363" i="2"/>
  <c r="I363" i="2" s="1"/>
  <c r="O362" i="2"/>
  <c r="N362" i="2"/>
  <c r="I362" i="2"/>
  <c r="O361" i="2"/>
  <c r="N361" i="2"/>
  <c r="I361" i="2" s="1"/>
  <c r="O360" i="2"/>
  <c r="N360" i="2"/>
  <c r="I360" i="2" s="1"/>
  <c r="O359" i="2"/>
  <c r="N359" i="2"/>
  <c r="I359" i="2"/>
  <c r="O358" i="2"/>
  <c r="N358" i="2"/>
  <c r="I358" i="2"/>
  <c r="O357" i="2"/>
  <c r="N357" i="2"/>
  <c r="I357" i="2" s="1"/>
  <c r="O356" i="2"/>
  <c r="N356" i="2"/>
  <c r="I356" i="2"/>
  <c r="O355" i="2"/>
  <c r="N355" i="2"/>
  <c r="I355" i="2" s="1"/>
  <c r="O354" i="2"/>
  <c r="N354" i="2"/>
  <c r="I354" i="2" s="1"/>
  <c r="O353" i="2"/>
  <c r="N353" i="2"/>
  <c r="I353" i="2" s="1"/>
  <c r="O352" i="2"/>
  <c r="N352" i="2"/>
  <c r="I352" i="2" s="1"/>
  <c r="O351" i="2"/>
  <c r="N351" i="2"/>
  <c r="I351" i="2" s="1"/>
  <c r="O350" i="2"/>
  <c r="N350" i="2"/>
  <c r="I350" i="2"/>
  <c r="O349" i="2"/>
  <c r="N349" i="2"/>
  <c r="I349" i="2" s="1"/>
  <c r="O348" i="2"/>
  <c r="N348" i="2"/>
  <c r="I348" i="2" s="1"/>
  <c r="O347" i="2"/>
  <c r="N347" i="2"/>
  <c r="I347" i="2"/>
  <c r="O346" i="2"/>
  <c r="N346" i="2"/>
  <c r="I346" i="2"/>
  <c r="O345" i="2"/>
  <c r="N345" i="2"/>
  <c r="I345" i="2" s="1"/>
  <c r="O344" i="2"/>
  <c r="N344" i="2"/>
  <c r="I344" i="2"/>
  <c r="O343" i="2"/>
  <c r="N343" i="2"/>
  <c r="I343" i="2"/>
  <c r="O342" i="2"/>
  <c r="N342" i="2"/>
  <c r="I342" i="2" s="1"/>
  <c r="O341" i="2"/>
  <c r="N341" i="2"/>
  <c r="I341" i="2" s="1"/>
  <c r="O340" i="2"/>
  <c r="N340" i="2"/>
  <c r="I340" i="2" s="1"/>
  <c r="O339" i="2"/>
  <c r="N339" i="2"/>
  <c r="I339" i="2" s="1"/>
  <c r="O338" i="2"/>
  <c r="N338" i="2"/>
  <c r="I338" i="2"/>
  <c r="O337" i="2"/>
  <c r="N337" i="2"/>
  <c r="I337" i="2" s="1"/>
  <c r="O336" i="2"/>
  <c r="N336" i="2"/>
  <c r="I336" i="2" s="1"/>
  <c r="O335" i="2"/>
  <c r="N335" i="2"/>
  <c r="I335" i="2" s="1"/>
  <c r="O334" i="2"/>
  <c r="N334" i="2"/>
  <c r="I334" i="2"/>
  <c r="O333" i="2"/>
  <c r="N333" i="2"/>
  <c r="I333" i="2" s="1"/>
  <c r="O332" i="2"/>
  <c r="N332" i="2"/>
  <c r="I332" i="2" s="1"/>
  <c r="O331" i="2"/>
  <c r="N331" i="2"/>
  <c r="I331" i="2"/>
  <c r="O330" i="2"/>
  <c r="N330" i="2"/>
  <c r="I330" i="2" s="1"/>
  <c r="O329" i="2"/>
  <c r="N329" i="2"/>
  <c r="I329" i="2" s="1"/>
  <c r="O328" i="2"/>
  <c r="N328" i="2"/>
  <c r="I328" i="2"/>
  <c r="O327" i="2"/>
  <c r="N327" i="2"/>
  <c r="I327" i="2" s="1"/>
  <c r="O326" i="2"/>
  <c r="N326" i="2"/>
  <c r="I326" i="2" s="1"/>
  <c r="O325" i="2"/>
  <c r="N325" i="2"/>
  <c r="I325" i="2" s="1"/>
  <c r="O324" i="2"/>
  <c r="N324" i="2"/>
  <c r="I324" i="2" s="1"/>
  <c r="O323" i="2"/>
  <c r="N323" i="2"/>
  <c r="I323" i="2" s="1"/>
  <c r="O322" i="2"/>
  <c r="N322" i="2"/>
  <c r="I322" i="2"/>
  <c r="O321" i="2"/>
  <c r="N321" i="2"/>
  <c r="I321" i="2" s="1"/>
  <c r="O320" i="2"/>
  <c r="N320" i="2"/>
  <c r="I320" i="2" s="1"/>
  <c r="O319" i="2"/>
  <c r="N319" i="2"/>
  <c r="I319" i="2"/>
  <c r="O318" i="2"/>
  <c r="N318" i="2"/>
  <c r="I318" i="2" s="1"/>
  <c r="O317" i="2"/>
  <c r="N317" i="2"/>
  <c r="I317" i="2" s="1"/>
  <c r="O316" i="2"/>
  <c r="N316" i="2"/>
  <c r="I316" i="2" s="1"/>
  <c r="O315" i="2"/>
  <c r="N315" i="2"/>
  <c r="I315" i="2" s="1"/>
  <c r="O314" i="2"/>
  <c r="N314" i="2"/>
  <c r="I314" i="2" s="1"/>
  <c r="O313" i="2"/>
  <c r="N313" i="2"/>
  <c r="I313" i="2" s="1"/>
  <c r="O312" i="2"/>
  <c r="N312" i="2"/>
  <c r="I312" i="2" s="1"/>
  <c r="O311" i="2"/>
  <c r="N311" i="2"/>
  <c r="I311" i="2" s="1"/>
  <c r="O310" i="2"/>
  <c r="N310" i="2"/>
  <c r="I310" i="2"/>
  <c r="O309" i="2"/>
  <c r="N309" i="2"/>
  <c r="I309" i="2" s="1"/>
  <c r="O308" i="2"/>
  <c r="N308" i="2"/>
  <c r="I308" i="2" s="1"/>
  <c r="O307" i="2"/>
  <c r="N307" i="2"/>
  <c r="I307" i="2" s="1"/>
  <c r="O306" i="2"/>
  <c r="N306" i="2"/>
  <c r="I306" i="2" s="1"/>
  <c r="O305" i="2"/>
  <c r="N305" i="2"/>
  <c r="I305" i="2" s="1"/>
  <c r="O304" i="2"/>
  <c r="N304" i="2"/>
  <c r="I304" i="2" s="1"/>
  <c r="O303" i="2"/>
  <c r="N303" i="2"/>
  <c r="I303" i="2" s="1"/>
  <c r="O302" i="2"/>
  <c r="N302" i="2"/>
  <c r="I302" i="2" s="1"/>
  <c r="O301" i="2"/>
  <c r="N301" i="2"/>
  <c r="I301" i="2" s="1"/>
  <c r="O300" i="2"/>
  <c r="N300" i="2"/>
  <c r="I300" i="2" s="1"/>
  <c r="O299" i="2"/>
  <c r="N299" i="2"/>
  <c r="I299" i="2" s="1"/>
  <c r="O298" i="2"/>
  <c r="N298" i="2"/>
  <c r="I298" i="2"/>
  <c r="O297" i="2"/>
  <c r="N297" i="2"/>
  <c r="I297" i="2" s="1"/>
  <c r="O296" i="2"/>
  <c r="N296" i="2"/>
  <c r="I296" i="2" s="1"/>
  <c r="O295" i="2"/>
  <c r="N295" i="2"/>
  <c r="I295" i="2" s="1"/>
  <c r="O294" i="2"/>
  <c r="N294" i="2"/>
  <c r="I294" i="2"/>
  <c r="O293" i="2"/>
  <c r="N293" i="2"/>
  <c r="I293" i="2" s="1"/>
  <c r="O292" i="2"/>
  <c r="N292" i="2"/>
  <c r="I292" i="2" s="1"/>
  <c r="O291" i="2"/>
  <c r="N291" i="2"/>
  <c r="I291" i="2" s="1"/>
  <c r="O290" i="2"/>
  <c r="N290" i="2"/>
  <c r="I290" i="2" s="1"/>
  <c r="O289" i="2"/>
  <c r="N289" i="2"/>
  <c r="I289" i="2" s="1"/>
  <c r="O288" i="2"/>
  <c r="N288" i="2"/>
  <c r="I288" i="2" s="1"/>
  <c r="O287" i="2"/>
  <c r="N287" i="2"/>
  <c r="I287" i="2" s="1"/>
  <c r="O286" i="2"/>
  <c r="N286" i="2"/>
  <c r="I286" i="2"/>
  <c r="O285" i="2"/>
  <c r="N285" i="2"/>
  <c r="I285" i="2" s="1"/>
  <c r="O284" i="2"/>
  <c r="N284" i="2"/>
  <c r="I284" i="2" s="1"/>
  <c r="O283" i="2"/>
  <c r="N283" i="2"/>
  <c r="I283" i="2" s="1"/>
  <c r="O282" i="2"/>
  <c r="N282" i="2"/>
  <c r="I282" i="2"/>
  <c r="O281" i="2"/>
  <c r="N281" i="2"/>
  <c r="I281" i="2" s="1"/>
  <c r="O280" i="2"/>
  <c r="N280" i="2"/>
  <c r="I280" i="2" s="1"/>
  <c r="O279" i="2"/>
  <c r="N279" i="2"/>
  <c r="I279" i="2"/>
  <c r="O278" i="2"/>
  <c r="N278" i="2"/>
  <c r="I278" i="2" s="1"/>
  <c r="O277" i="2"/>
  <c r="N277" i="2"/>
  <c r="I277" i="2" s="1"/>
  <c r="O276" i="2"/>
  <c r="N276" i="2"/>
  <c r="I276" i="2"/>
  <c r="O275" i="2"/>
  <c r="N275" i="2"/>
  <c r="I275" i="2" s="1"/>
  <c r="O274" i="2"/>
  <c r="N274" i="2"/>
  <c r="I274" i="2" s="1"/>
  <c r="O273" i="2"/>
  <c r="N273" i="2"/>
  <c r="I273" i="2" s="1"/>
  <c r="O272" i="2"/>
  <c r="N272" i="2"/>
  <c r="I272" i="2" s="1"/>
  <c r="O271" i="2"/>
  <c r="N271" i="2"/>
  <c r="I271" i="2"/>
  <c r="O270" i="2"/>
  <c r="N270" i="2"/>
  <c r="I270" i="2" s="1"/>
  <c r="O269" i="2"/>
  <c r="N269" i="2"/>
  <c r="I269" i="2" s="1"/>
  <c r="O268" i="2"/>
  <c r="N268" i="2"/>
  <c r="I268" i="2"/>
  <c r="O267" i="2"/>
  <c r="N267" i="2"/>
  <c r="I267" i="2" s="1"/>
  <c r="O266" i="2"/>
  <c r="N266" i="2"/>
  <c r="I266" i="2" s="1"/>
  <c r="O265" i="2"/>
  <c r="N265" i="2"/>
  <c r="I265" i="2" s="1"/>
  <c r="O264" i="2"/>
  <c r="N264" i="2"/>
  <c r="I264" i="2"/>
  <c r="O263" i="2"/>
  <c r="N263" i="2"/>
  <c r="I263" i="2" s="1"/>
  <c r="O262" i="2"/>
  <c r="N262" i="2"/>
  <c r="I262" i="2" s="1"/>
  <c r="O261" i="2"/>
  <c r="N261" i="2"/>
  <c r="I261" i="2" s="1"/>
  <c r="O260" i="2"/>
  <c r="N260" i="2"/>
  <c r="I260" i="2" s="1"/>
  <c r="O259" i="2"/>
  <c r="N259" i="2"/>
  <c r="I259" i="2" s="1"/>
  <c r="O258" i="2"/>
  <c r="N258" i="2"/>
  <c r="I258" i="2" s="1"/>
  <c r="O257" i="2"/>
  <c r="N257" i="2"/>
  <c r="I257" i="2" s="1"/>
  <c r="O256" i="2"/>
  <c r="N256" i="2"/>
  <c r="I256" i="2"/>
  <c r="O255" i="2"/>
  <c r="N255" i="2"/>
  <c r="I255" i="2" s="1"/>
  <c r="O254" i="2"/>
  <c r="N254" i="2"/>
  <c r="I254" i="2" s="1"/>
  <c r="O253" i="2"/>
  <c r="N253" i="2"/>
  <c r="I253" i="2" s="1"/>
  <c r="O252" i="2"/>
  <c r="N252" i="2"/>
  <c r="I252" i="2"/>
  <c r="O251" i="2"/>
  <c r="N251" i="2"/>
  <c r="I251" i="2" s="1"/>
  <c r="O250" i="2"/>
  <c r="N250" i="2"/>
  <c r="I250" i="2" s="1"/>
  <c r="O249" i="2"/>
  <c r="N249" i="2"/>
  <c r="I249" i="2" s="1"/>
  <c r="O248" i="2"/>
  <c r="N248" i="2"/>
  <c r="I248" i="2" s="1"/>
  <c r="O247" i="2"/>
  <c r="N247" i="2"/>
  <c r="I247" i="2" s="1"/>
  <c r="O246" i="2"/>
  <c r="N246" i="2"/>
  <c r="I246" i="2" s="1"/>
  <c r="O245" i="2"/>
  <c r="N245" i="2"/>
  <c r="I245" i="2" s="1"/>
  <c r="O244" i="2"/>
  <c r="N244" i="2"/>
  <c r="I244" i="2" s="1"/>
  <c r="O243" i="2"/>
  <c r="N243" i="2"/>
  <c r="I243" i="2" s="1"/>
  <c r="O242" i="2"/>
  <c r="N242" i="2"/>
  <c r="I242" i="2"/>
  <c r="O241" i="2"/>
  <c r="N241" i="2"/>
  <c r="I241" i="2" s="1"/>
  <c r="O240" i="2"/>
  <c r="N240" i="2"/>
  <c r="I240" i="2" s="1"/>
  <c r="O239" i="2"/>
  <c r="N239" i="2"/>
  <c r="I239" i="2"/>
  <c r="O238" i="2"/>
  <c r="N238" i="2"/>
  <c r="I238" i="2" s="1"/>
  <c r="O237" i="2"/>
  <c r="N237" i="2"/>
  <c r="I237" i="2" s="1"/>
  <c r="O236" i="2"/>
  <c r="N236" i="2"/>
  <c r="I236" i="2" s="1"/>
  <c r="O235" i="2"/>
  <c r="N235" i="2"/>
  <c r="I235" i="2" s="1"/>
  <c r="O234" i="2"/>
  <c r="N234" i="2"/>
  <c r="I234" i="2"/>
  <c r="O233" i="2"/>
  <c r="N233" i="2"/>
  <c r="I233" i="2" s="1"/>
  <c r="O232" i="2"/>
  <c r="N232" i="2"/>
  <c r="I232" i="2" s="1"/>
  <c r="O231" i="2"/>
  <c r="N231" i="2"/>
  <c r="I231" i="2" s="1"/>
  <c r="O230" i="2"/>
  <c r="N230" i="2"/>
  <c r="I230" i="2"/>
  <c r="O229" i="2"/>
  <c r="N229" i="2"/>
  <c r="I229" i="2" s="1"/>
  <c r="O228" i="2"/>
  <c r="N228" i="2"/>
  <c r="I228" i="2" s="1"/>
  <c r="O227" i="2"/>
  <c r="N227" i="2"/>
  <c r="I227" i="2" s="1"/>
  <c r="O226" i="2"/>
  <c r="N226" i="2"/>
  <c r="I226" i="2" s="1"/>
  <c r="O225" i="2"/>
  <c r="N225" i="2"/>
  <c r="I225" i="2" s="1"/>
  <c r="O224" i="2"/>
  <c r="N224" i="2"/>
  <c r="I224" i="2"/>
  <c r="O223" i="2"/>
  <c r="N223" i="2"/>
  <c r="I223" i="2" s="1"/>
  <c r="O222" i="2"/>
  <c r="N222" i="2"/>
  <c r="I222" i="2" s="1"/>
  <c r="O221" i="2"/>
  <c r="N221" i="2"/>
  <c r="I221" i="2" s="1"/>
  <c r="O220" i="2"/>
  <c r="N220" i="2"/>
  <c r="I220" i="2" s="1"/>
  <c r="O219" i="2"/>
  <c r="N219" i="2"/>
  <c r="I219" i="2"/>
  <c r="O218" i="2"/>
  <c r="N218" i="2"/>
  <c r="I218" i="2" s="1"/>
  <c r="O217" i="2"/>
  <c r="N217" i="2"/>
  <c r="I217" i="2" s="1"/>
  <c r="O216" i="2"/>
  <c r="N216" i="2"/>
  <c r="I216" i="2"/>
  <c r="O215" i="2"/>
  <c r="N215" i="2"/>
  <c r="I215" i="2" s="1"/>
  <c r="O214" i="2"/>
  <c r="N214" i="2"/>
  <c r="I214" i="2"/>
  <c r="O213" i="2"/>
  <c r="N213" i="2"/>
  <c r="I213" i="2" s="1"/>
  <c r="O212" i="2"/>
  <c r="N212" i="2"/>
  <c r="I212" i="2" s="1"/>
  <c r="O211" i="2"/>
  <c r="N211" i="2"/>
  <c r="I211" i="2" s="1"/>
  <c r="O210" i="2"/>
  <c r="N210" i="2"/>
  <c r="I210" i="2"/>
  <c r="O209" i="2"/>
  <c r="N209" i="2"/>
  <c r="I209" i="2" s="1"/>
  <c r="O208" i="2"/>
  <c r="N208" i="2"/>
  <c r="I208" i="2" s="1"/>
  <c r="O207" i="2"/>
  <c r="N207" i="2"/>
  <c r="I207" i="2" s="1"/>
  <c r="O206" i="2"/>
  <c r="N206" i="2"/>
  <c r="I206" i="2"/>
  <c r="O205" i="2"/>
  <c r="N205" i="2"/>
  <c r="I205" i="2" s="1"/>
  <c r="O204" i="2"/>
  <c r="N204" i="2"/>
  <c r="I204" i="2" s="1"/>
  <c r="O203" i="2"/>
  <c r="N203" i="2"/>
  <c r="I203" i="2"/>
  <c r="O202" i="2"/>
  <c r="N202" i="2"/>
  <c r="I202" i="2" s="1"/>
  <c r="O201" i="2"/>
  <c r="N201" i="2"/>
  <c r="I201" i="2" s="1"/>
  <c r="O200" i="2"/>
  <c r="N200" i="2"/>
  <c r="I200" i="2"/>
  <c r="O199" i="2"/>
  <c r="N199" i="2"/>
  <c r="I199" i="2" s="1"/>
  <c r="O198" i="2"/>
  <c r="N198" i="2"/>
  <c r="I198" i="2" s="1"/>
  <c r="O197" i="2"/>
  <c r="N197" i="2"/>
  <c r="I197" i="2" s="1"/>
  <c r="O196" i="2"/>
  <c r="N196" i="2"/>
  <c r="I196" i="2"/>
  <c r="O195" i="2"/>
  <c r="N195" i="2"/>
  <c r="I195" i="2" s="1"/>
  <c r="O194" i="2"/>
  <c r="N194" i="2"/>
  <c r="I194" i="2" s="1"/>
  <c r="O193" i="2"/>
  <c r="N193" i="2"/>
  <c r="I193" i="2" s="1"/>
  <c r="O192" i="2"/>
  <c r="N192" i="2"/>
  <c r="I192" i="2"/>
  <c r="O191" i="2"/>
  <c r="N191" i="2"/>
  <c r="I191" i="2" s="1"/>
  <c r="O190" i="2"/>
  <c r="N190" i="2"/>
  <c r="I190" i="2"/>
  <c r="O189" i="2"/>
  <c r="N189" i="2"/>
  <c r="I189" i="2" s="1"/>
  <c r="O188" i="2"/>
  <c r="N188" i="2"/>
  <c r="I188" i="2" s="1"/>
  <c r="O187" i="2"/>
  <c r="N187" i="2"/>
  <c r="I187" i="2"/>
  <c r="O186" i="2"/>
  <c r="N186" i="2"/>
  <c r="I186" i="2" s="1"/>
  <c r="O185" i="2"/>
  <c r="N185" i="2"/>
  <c r="I185" i="2" s="1"/>
  <c r="O184" i="2"/>
  <c r="N184" i="2"/>
  <c r="I184" i="2" s="1"/>
  <c r="O183" i="2"/>
  <c r="N183" i="2"/>
  <c r="I183" i="2" s="1"/>
  <c r="O182" i="2"/>
  <c r="N182" i="2"/>
  <c r="I182" i="2"/>
  <c r="O181" i="2"/>
  <c r="N181" i="2"/>
  <c r="I181" i="2" s="1"/>
  <c r="O180" i="2"/>
  <c r="N180" i="2"/>
  <c r="I180" i="2" s="1"/>
  <c r="O165" i="2"/>
  <c r="N165" i="2"/>
  <c r="I165" i="2" s="1"/>
  <c r="O164" i="2"/>
  <c r="N164" i="2"/>
  <c r="I164" i="2" s="1"/>
  <c r="O163" i="2"/>
  <c r="N163" i="2"/>
  <c r="I163" i="2" s="1"/>
  <c r="O162" i="2"/>
  <c r="N162" i="2"/>
  <c r="I162" i="2"/>
  <c r="O161" i="2"/>
  <c r="N161" i="2"/>
  <c r="I161" i="2" s="1"/>
  <c r="O160" i="2"/>
  <c r="N160" i="2"/>
  <c r="I160" i="2" s="1"/>
  <c r="O159" i="2"/>
  <c r="N159" i="2"/>
  <c r="I159" i="2" s="1"/>
  <c r="O158" i="2"/>
  <c r="N158" i="2"/>
  <c r="I158" i="2"/>
  <c r="O157" i="2"/>
  <c r="N157" i="2"/>
  <c r="I157" i="2" s="1"/>
  <c r="O156" i="2"/>
  <c r="N156" i="2"/>
  <c r="I156" i="2" s="1"/>
  <c r="O155" i="2"/>
  <c r="N155" i="2"/>
  <c r="I155" i="2" s="1"/>
  <c r="O154" i="2"/>
  <c r="N154" i="2"/>
  <c r="I154" i="2" s="1"/>
  <c r="O153" i="2"/>
  <c r="N153" i="2"/>
  <c r="I153" i="2"/>
  <c r="O152" i="2"/>
  <c r="N152" i="2"/>
  <c r="I152" i="2" s="1"/>
  <c r="O151" i="2"/>
  <c r="N151" i="2"/>
  <c r="I151" i="2" s="1"/>
  <c r="O150" i="2"/>
  <c r="N150" i="2"/>
  <c r="I150" i="2"/>
  <c r="O149" i="2"/>
  <c r="N149" i="2"/>
  <c r="I149" i="2" s="1"/>
  <c r="O148" i="2"/>
  <c r="N148" i="2"/>
  <c r="I148" i="2" s="1"/>
  <c r="O147" i="2"/>
  <c r="N147" i="2"/>
  <c r="I147" i="2" s="1"/>
  <c r="O146" i="2"/>
  <c r="N146" i="2"/>
  <c r="I146" i="2" s="1"/>
  <c r="O145" i="2"/>
  <c r="N145" i="2"/>
  <c r="I145" i="2" s="1"/>
  <c r="O144" i="2"/>
  <c r="N144" i="2"/>
  <c r="I144" i="2"/>
  <c r="O143" i="2"/>
  <c r="N143" i="2"/>
  <c r="I143" i="2" s="1"/>
  <c r="O142" i="2"/>
  <c r="N142" i="2"/>
  <c r="I142" i="2" s="1"/>
  <c r="O141" i="2"/>
  <c r="N141" i="2"/>
  <c r="I141" i="2" s="1"/>
  <c r="O140" i="2"/>
  <c r="N140" i="2"/>
  <c r="I140" i="2"/>
  <c r="O139" i="2"/>
  <c r="N139" i="2"/>
  <c r="I139" i="2" s="1"/>
  <c r="O138" i="2"/>
  <c r="N138" i="2"/>
  <c r="I138" i="2" s="1"/>
  <c r="O137" i="2"/>
  <c r="N137" i="2"/>
  <c r="I137" i="2"/>
  <c r="O136" i="2"/>
  <c r="N136" i="2"/>
  <c r="I136" i="2" s="1"/>
  <c r="O135" i="2"/>
  <c r="N135" i="2"/>
  <c r="I135" i="2" s="1"/>
  <c r="O134" i="2"/>
  <c r="N134" i="2"/>
  <c r="I134" i="2"/>
  <c r="O133" i="2"/>
  <c r="N133" i="2"/>
  <c r="I133" i="2" s="1"/>
  <c r="O132" i="2"/>
  <c r="N132" i="2"/>
  <c r="I132" i="2" s="1"/>
  <c r="O131" i="2"/>
  <c r="N131" i="2"/>
  <c r="I131" i="2"/>
  <c r="O130" i="2"/>
  <c r="N130" i="2"/>
  <c r="I130" i="2" s="1"/>
  <c r="O129" i="2"/>
  <c r="N129" i="2"/>
  <c r="I129" i="2" s="1"/>
  <c r="O128" i="2"/>
  <c r="N128" i="2"/>
  <c r="I128" i="2" s="1"/>
  <c r="O127" i="2"/>
  <c r="N127" i="2"/>
  <c r="I127" i="2"/>
  <c r="O126" i="2"/>
  <c r="N126" i="2"/>
  <c r="I126" i="2" s="1"/>
  <c r="O125" i="2"/>
  <c r="N125" i="2"/>
  <c r="I125" i="2" s="1"/>
  <c r="O124" i="2"/>
  <c r="N124" i="2"/>
  <c r="I124" i="2" s="1"/>
  <c r="O123" i="2"/>
  <c r="N123" i="2"/>
  <c r="I123" i="2" s="1"/>
  <c r="O122" i="2"/>
  <c r="N122" i="2"/>
  <c r="I122" i="2"/>
  <c r="O121" i="2"/>
  <c r="N121" i="2"/>
  <c r="I121" i="2" s="1"/>
  <c r="O120" i="2"/>
  <c r="N120" i="2"/>
  <c r="I120" i="2" s="1"/>
  <c r="O119" i="2"/>
  <c r="N119" i="2"/>
  <c r="I119" i="2"/>
  <c r="O118" i="2"/>
  <c r="N118" i="2"/>
  <c r="I118" i="2" s="1"/>
  <c r="O117" i="2"/>
  <c r="N117" i="2"/>
  <c r="I117" i="2"/>
  <c r="O116" i="2"/>
  <c r="N116" i="2"/>
  <c r="I116" i="2" s="1"/>
  <c r="O115" i="2"/>
  <c r="N115" i="2"/>
  <c r="I115" i="2" s="1"/>
  <c r="O114" i="2"/>
  <c r="N114" i="2"/>
  <c r="I114" i="2"/>
  <c r="O113" i="2"/>
  <c r="N113" i="2"/>
  <c r="I113" i="2" s="1"/>
  <c r="O112" i="2"/>
  <c r="N112" i="2"/>
  <c r="I112" i="2" s="1"/>
  <c r="O111" i="2"/>
  <c r="N111" i="2"/>
  <c r="I111" i="2" s="1"/>
  <c r="O110" i="2"/>
  <c r="N110" i="2"/>
  <c r="I110" i="2" s="1"/>
  <c r="O109" i="2"/>
  <c r="N109" i="2"/>
  <c r="I109" i="2"/>
  <c r="O108" i="2"/>
  <c r="N108" i="2"/>
  <c r="I108" i="2" s="1"/>
  <c r="O107" i="2"/>
  <c r="N107" i="2"/>
  <c r="I107" i="2" s="1"/>
  <c r="O106" i="2"/>
  <c r="N106" i="2"/>
  <c r="I106" i="2" s="1"/>
  <c r="O105" i="2"/>
  <c r="N105" i="2"/>
  <c r="I105" i="2"/>
  <c r="O104" i="2"/>
  <c r="N104" i="2"/>
  <c r="I104" i="2" s="1"/>
  <c r="O103" i="2"/>
  <c r="N103" i="2"/>
  <c r="I103" i="2" s="1"/>
  <c r="O102" i="2"/>
  <c r="N102" i="2"/>
  <c r="I102" i="2"/>
  <c r="O101" i="2"/>
  <c r="N101" i="2"/>
  <c r="I101" i="2" s="1"/>
  <c r="O100" i="2"/>
  <c r="N100" i="2"/>
  <c r="I100" i="2" s="1"/>
  <c r="O99" i="2"/>
  <c r="N99" i="2"/>
  <c r="I99" i="2"/>
  <c r="O98" i="2"/>
  <c r="N98" i="2"/>
  <c r="I98" i="2" s="1"/>
  <c r="O97" i="2"/>
  <c r="N97" i="2"/>
  <c r="I97" i="2" s="1"/>
  <c r="O96" i="2"/>
  <c r="N96" i="2"/>
  <c r="I96" i="2" s="1"/>
  <c r="O95" i="2"/>
  <c r="N95" i="2"/>
  <c r="I95" i="2"/>
  <c r="O94" i="2"/>
  <c r="N94" i="2"/>
  <c r="I94" i="2" s="1"/>
  <c r="O93" i="2"/>
  <c r="N93" i="2"/>
  <c r="I93" i="2" s="1"/>
  <c r="O92" i="2"/>
  <c r="N92" i="2"/>
  <c r="I92" i="2" s="1"/>
  <c r="O91" i="2"/>
  <c r="N91" i="2"/>
  <c r="I91" i="2" s="1"/>
  <c r="O90" i="2"/>
  <c r="N90" i="2"/>
  <c r="I90" i="2"/>
  <c r="N89" i="2"/>
  <c r="I89" i="2" s="1"/>
  <c r="O88" i="2"/>
  <c r="N88" i="2"/>
  <c r="I88" i="2"/>
  <c r="O87" i="2"/>
  <c r="N87" i="2"/>
  <c r="I87" i="2" s="1"/>
  <c r="O86" i="2"/>
  <c r="N86" i="2"/>
  <c r="I86" i="2"/>
  <c r="O85" i="2"/>
  <c r="N85" i="2"/>
  <c r="I85" i="2" s="1"/>
  <c r="O84" i="2"/>
  <c r="N84" i="2"/>
  <c r="I84" i="2" s="1"/>
  <c r="O83" i="2"/>
  <c r="N83" i="2"/>
  <c r="I83" i="2"/>
  <c r="O82" i="2"/>
  <c r="N82" i="2"/>
  <c r="I82" i="2" s="1"/>
  <c r="O81" i="2"/>
  <c r="N81" i="2"/>
  <c r="I81" i="2" s="1"/>
  <c r="O80" i="2"/>
  <c r="N80" i="2"/>
  <c r="I80" i="2" s="1"/>
  <c r="O79" i="2"/>
  <c r="N79" i="2"/>
  <c r="I79" i="2" s="1"/>
  <c r="O78" i="2"/>
  <c r="N78" i="2"/>
  <c r="I78" i="2"/>
  <c r="O77" i="2"/>
  <c r="N77" i="2"/>
  <c r="I77" i="2" s="1"/>
  <c r="O76" i="2"/>
  <c r="N76" i="2"/>
  <c r="I76" i="2" s="1"/>
  <c r="O75" i="2"/>
  <c r="N75" i="2"/>
  <c r="I75" i="2" s="1"/>
  <c r="O74" i="2"/>
  <c r="N74" i="2"/>
  <c r="I74" i="2"/>
  <c r="O73" i="2"/>
  <c r="N73" i="2"/>
  <c r="I73" i="2" s="1"/>
  <c r="O72" i="2"/>
  <c r="N72" i="2"/>
  <c r="I72" i="2" s="1"/>
  <c r="O71" i="2"/>
  <c r="N71" i="2"/>
  <c r="I71" i="2"/>
  <c r="O70" i="2"/>
  <c r="N70" i="2"/>
  <c r="I70" i="2" s="1"/>
  <c r="O69" i="2"/>
  <c r="N69" i="2"/>
  <c r="I69" i="2" s="1"/>
  <c r="O68" i="2"/>
  <c r="N68" i="2"/>
  <c r="I68" i="2"/>
  <c r="O67" i="2"/>
  <c r="N67" i="2"/>
  <c r="I67" i="2" s="1"/>
  <c r="O66" i="2"/>
  <c r="N66" i="2"/>
  <c r="I66" i="2" s="1"/>
  <c r="O65" i="2"/>
  <c r="N65" i="2"/>
  <c r="I65" i="2" s="1"/>
  <c r="O64" i="2"/>
  <c r="N64" i="2"/>
  <c r="I64" i="2"/>
  <c r="O63" i="2"/>
  <c r="N63" i="2"/>
  <c r="I63" i="2" s="1"/>
  <c r="O62" i="2"/>
  <c r="N62" i="2"/>
  <c r="I62" i="2" s="1"/>
  <c r="O61" i="2"/>
  <c r="N61" i="2"/>
  <c r="I61" i="2" s="1"/>
  <c r="O60" i="2"/>
  <c r="N60" i="2"/>
  <c r="I60" i="2" s="1"/>
  <c r="O59" i="2"/>
  <c r="N59" i="2"/>
  <c r="I59" i="2"/>
  <c r="O58" i="2"/>
  <c r="N58" i="2"/>
  <c r="I58" i="2" s="1"/>
  <c r="O57" i="2"/>
  <c r="N57" i="2"/>
  <c r="I57" i="2" s="1"/>
  <c r="O56" i="2"/>
  <c r="N56" i="2"/>
  <c r="I56" i="2"/>
  <c r="O55" i="2"/>
  <c r="N55" i="2"/>
  <c r="I55" i="2" s="1"/>
  <c r="O54" i="2"/>
  <c r="N54" i="2"/>
  <c r="I54" i="2"/>
  <c r="O53" i="2"/>
  <c r="N53" i="2"/>
  <c r="I53" i="2" s="1"/>
  <c r="O52" i="2"/>
  <c r="N52" i="2"/>
  <c r="I52" i="2" s="1"/>
  <c r="O51" i="2"/>
  <c r="N51" i="2"/>
  <c r="I51" i="2"/>
  <c r="O50" i="2"/>
  <c r="N50" i="2"/>
  <c r="I50" i="2" s="1"/>
  <c r="O49" i="2"/>
  <c r="N49" i="2"/>
  <c r="I49" i="2" s="1"/>
  <c r="O48" i="2"/>
  <c r="N48" i="2"/>
  <c r="I48" i="2" s="1"/>
  <c r="O47" i="2"/>
  <c r="N47" i="2"/>
  <c r="I47" i="2" s="1"/>
  <c r="O46" i="2"/>
  <c r="N46" i="2"/>
  <c r="I46" i="2"/>
  <c r="O45" i="2"/>
  <c r="N45" i="2"/>
  <c r="I45" i="2" s="1"/>
  <c r="O44" i="2"/>
  <c r="N44" i="2"/>
  <c r="I44" i="2" s="1"/>
  <c r="O43" i="2"/>
  <c r="N43" i="2"/>
  <c r="I43" i="2" s="1"/>
  <c r="O42" i="2"/>
  <c r="N42" i="2"/>
  <c r="I42" i="2"/>
  <c r="O41" i="2"/>
  <c r="N41" i="2"/>
  <c r="I41" i="2" s="1"/>
  <c r="O40" i="2"/>
  <c r="N40" i="2"/>
  <c r="I40" i="2" s="1"/>
  <c r="O39" i="2"/>
  <c r="N39" i="2"/>
  <c r="I39" i="2"/>
  <c r="O38" i="2"/>
  <c r="N38" i="2"/>
  <c r="I38" i="2" s="1"/>
  <c r="O37" i="2"/>
  <c r="N37" i="2"/>
  <c r="I37" i="2" s="1"/>
  <c r="O36" i="2"/>
  <c r="N36" i="2"/>
  <c r="I36" i="2"/>
  <c r="O35" i="2"/>
  <c r="N35" i="2"/>
  <c r="I35" i="2" s="1"/>
  <c r="O34" i="2"/>
  <c r="N34" i="2"/>
  <c r="I34" i="2" s="1"/>
  <c r="O33" i="2"/>
  <c r="N33" i="2"/>
  <c r="I33" i="2" s="1"/>
  <c r="O32" i="2"/>
  <c r="N32" i="2"/>
  <c r="I32" i="2"/>
</calcChain>
</file>

<file path=xl/sharedStrings.xml><?xml version="1.0" encoding="utf-8"?>
<sst xmlns="http://schemas.openxmlformats.org/spreadsheetml/2006/main" count="3439" uniqueCount="720">
  <si>
    <t>ME_category</t>
  </si>
  <si>
    <t>Zone</t>
  </si>
  <si>
    <t>Woreda</t>
  </si>
  <si>
    <t>non_F_Vulnerable_Youth</t>
  </si>
  <si>
    <t>Amount of loan received</t>
  </si>
  <si>
    <t>Awi</t>
  </si>
  <si>
    <t>Injibara</t>
  </si>
  <si>
    <t>Bahirdar</t>
  </si>
  <si>
    <t>A/tewodros</t>
  </si>
  <si>
    <t>Gondar</t>
  </si>
  <si>
    <t>G/Abay</t>
  </si>
  <si>
    <t>Tana</t>
  </si>
  <si>
    <t>Tseda</t>
  </si>
  <si>
    <t>Bank Name</t>
  </si>
  <si>
    <t>Region</t>
  </si>
  <si>
    <t>Name of MEs</t>
  </si>
  <si>
    <t>Business type</t>
  </si>
  <si>
    <t>Date of laon received</t>
  </si>
  <si>
    <t>non_M_Vulnerable_Youth</t>
  </si>
  <si>
    <t>M_Vulnerable_Youth</t>
  </si>
  <si>
    <t>F_Vulnerable_Youth</t>
  </si>
  <si>
    <t>non_Vulnerable_Youth</t>
  </si>
  <si>
    <t>Vulnerable_Youth</t>
  </si>
  <si>
    <t>Does the loan have grace period?</t>
  </si>
  <si>
    <t>Expected start date of loan repayment</t>
  </si>
  <si>
    <t>Tseday Bank</t>
  </si>
  <si>
    <t>Amhara</t>
  </si>
  <si>
    <t>Belay Zeleke</t>
  </si>
  <si>
    <t>Abeba Mulunesh &amp; frends</t>
  </si>
  <si>
    <t>Poultry Production</t>
  </si>
  <si>
    <t>No</t>
  </si>
  <si>
    <t>Aprill 27,2025</t>
  </si>
  <si>
    <t>Bekele biruk and frends</t>
  </si>
  <si>
    <t>Men buitysalon</t>
  </si>
  <si>
    <t>Aprill 25,2025</t>
  </si>
  <si>
    <t>May 24,2025</t>
  </si>
  <si>
    <t>Yeserash lubaba and frends</t>
  </si>
  <si>
    <t>Baltina production</t>
  </si>
  <si>
    <t>Aprill 18,2025</t>
  </si>
  <si>
    <t>May17,2025</t>
  </si>
  <si>
    <t>Tesfamariyam</t>
  </si>
  <si>
    <t>Spices production</t>
  </si>
  <si>
    <t>June 25,2025</t>
  </si>
  <si>
    <t>Tewodros Biresaw</t>
  </si>
  <si>
    <t>Candle production/Bajajae service</t>
  </si>
  <si>
    <t>Hirut Zemenay and frends</t>
  </si>
  <si>
    <t>frut selling</t>
  </si>
  <si>
    <t>June 14,2025</t>
  </si>
  <si>
    <t>Rahel Emebet and frends</t>
  </si>
  <si>
    <t>Julay 3,2025</t>
  </si>
  <si>
    <t>Fikire Melese</t>
  </si>
  <si>
    <t>Mulugojame Getaneh</t>
  </si>
  <si>
    <t>Cereal trading</t>
  </si>
  <si>
    <t>Betelihem Haile</t>
  </si>
  <si>
    <t>Sank house</t>
  </si>
  <si>
    <t>Jualy 11,2025</t>
  </si>
  <si>
    <t>Reiy yohaniess Tizazu</t>
  </si>
  <si>
    <t>used materiyal buying &amp;seling</t>
  </si>
  <si>
    <t>Julay11,2025</t>
  </si>
  <si>
    <t>Mekdes Tilahun</t>
  </si>
  <si>
    <t>Minimarket</t>
  </si>
  <si>
    <t>Julay 18,2025</t>
  </si>
  <si>
    <t>Kalkidan Sisay</t>
  </si>
  <si>
    <t>Grocery</t>
  </si>
  <si>
    <t>Julay 24,2025</t>
  </si>
  <si>
    <t>Misrak Ayalew</t>
  </si>
  <si>
    <t>selling of plastic sheet for floor</t>
  </si>
  <si>
    <t>Meseret Gebeyaw</t>
  </si>
  <si>
    <t>taloring</t>
  </si>
  <si>
    <t>Selam Awugichew</t>
  </si>
  <si>
    <t>Shiro bet</t>
  </si>
  <si>
    <t>Tisae Tsegaye</t>
  </si>
  <si>
    <t>Seble Tsegaye</t>
  </si>
  <si>
    <t>Biruktawit Arega</t>
  </si>
  <si>
    <t>Julay 24 ,2025</t>
  </si>
  <si>
    <t>Haimanot Muche</t>
  </si>
  <si>
    <t>Mini market</t>
  </si>
  <si>
    <t>julay 24,2025</t>
  </si>
  <si>
    <t>Fasikaw Baye</t>
  </si>
  <si>
    <t>fire wood selling</t>
  </si>
  <si>
    <t>Tiruken Simachew</t>
  </si>
  <si>
    <t>Julay 25,2025</t>
  </si>
  <si>
    <t>Mamar Takele</t>
  </si>
  <si>
    <t>Sheep trading</t>
  </si>
  <si>
    <t>Kibursew Abren</t>
  </si>
  <si>
    <t>Atitegeb Ayalew</t>
  </si>
  <si>
    <t>Kasanesh and selam</t>
  </si>
  <si>
    <t>Hamelmal Worku</t>
  </si>
  <si>
    <t>Sefie Ysehambel</t>
  </si>
  <si>
    <t>Belaynesh Tesfahun</t>
  </si>
  <si>
    <t>Laundery Service</t>
  </si>
  <si>
    <t>Mekdes Mulugeta</t>
  </si>
  <si>
    <t>laundery Service</t>
  </si>
  <si>
    <t>Fentaye Tilahun</t>
  </si>
  <si>
    <t>Habte Tesfawu</t>
  </si>
  <si>
    <t>Religious ornamet production and selling</t>
  </si>
  <si>
    <t>Julay 25 ,2025</t>
  </si>
  <si>
    <t>Dawit Asrate</t>
  </si>
  <si>
    <t>Julay 28,2025</t>
  </si>
  <si>
    <t>Meron Tibebu</t>
  </si>
  <si>
    <t>Julay 29,2025</t>
  </si>
  <si>
    <t>Tigist Bishawu</t>
  </si>
  <si>
    <t>Buity salon</t>
  </si>
  <si>
    <t>Augest 2,2025</t>
  </si>
  <si>
    <t>Elsabet walelign</t>
  </si>
  <si>
    <t>Birtukan Muhamed</t>
  </si>
  <si>
    <t>shiro bet</t>
  </si>
  <si>
    <t>Yenesew Sendek</t>
  </si>
  <si>
    <t>Julay 9,2025</t>
  </si>
  <si>
    <t>Augest 8,2025</t>
  </si>
  <si>
    <t>Simegnew Kasahun</t>
  </si>
  <si>
    <t>Julay 15,2025</t>
  </si>
  <si>
    <t>Augest 13,2025</t>
  </si>
  <si>
    <t>Tenaw Asefu and frends</t>
  </si>
  <si>
    <t>photocopy and stationery</t>
  </si>
  <si>
    <t>Augest</t>
  </si>
  <si>
    <t>Gishabay</t>
  </si>
  <si>
    <t>Senayit amanuel and frends</t>
  </si>
  <si>
    <t>Bkaery</t>
  </si>
  <si>
    <t>Atsede Emebet &amp; Frends</t>
  </si>
  <si>
    <t>Taloring</t>
  </si>
  <si>
    <t>Aprill 03,2025</t>
  </si>
  <si>
    <t>Metadle Netesanet &amp; Frends</t>
  </si>
  <si>
    <t>May 25.2025</t>
  </si>
  <si>
    <t>Augest 24,2025</t>
  </si>
  <si>
    <t>Abaynesh Tigabu</t>
  </si>
  <si>
    <t>Beuty salon</t>
  </si>
  <si>
    <t>Dec 24,2025</t>
  </si>
  <si>
    <t>Selamawiut Fasika &amp; frends</t>
  </si>
  <si>
    <t>Beza Minichil and frends</t>
  </si>
  <si>
    <t>Julay 11,2025</t>
  </si>
  <si>
    <t>Yohaniess Tizazu and frends</t>
  </si>
  <si>
    <t>Lubricant oil selling</t>
  </si>
  <si>
    <t>Yibeltal Netsanet and frends</t>
  </si>
  <si>
    <t>Fast foods</t>
  </si>
  <si>
    <t>Birhan Yosef</t>
  </si>
  <si>
    <t>Milk and millk products selling</t>
  </si>
  <si>
    <t>Aderawu Ayal</t>
  </si>
  <si>
    <t>Julay 10,2025</t>
  </si>
  <si>
    <t>Augest 8, 2025</t>
  </si>
  <si>
    <t>Yonatan kidist and frends</t>
  </si>
  <si>
    <t>Snak house</t>
  </si>
  <si>
    <t>Betelihem Belay</t>
  </si>
  <si>
    <t>Samuel Desalegn</t>
  </si>
  <si>
    <t>Yonas Zewudu</t>
  </si>
  <si>
    <t>Eden Fikadu</t>
  </si>
  <si>
    <t>Augest,14,2025</t>
  </si>
  <si>
    <t>September 10,2025</t>
  </si>
  <si>
    <t>Meseret Birara</t>
  </si>
  <si>
    <t>Beutiy salon women</t>
  </si>
  <si>
    <t>Beteliehem Genet &amp; frends</t>
  </si>
  <si>
    <t>Serkalem Rediet &amp; frends</t>
  </si>
  <si>
    <t>Awualom</t>
  </si>
  <si>
    <t>May 13,2025</t>
  </si>
  <si>
    <t>Atsetewodros</t>
  </si>
  <si>
    <t>Adina,Hiwot and Frends</t>
  </si>
  <si>
    <t>May 23,2025</t>
  </si>
  <si>
    <t>Senayit Birhanu and Frends</t>
  </si>
  <si>
    <t>Feb 22,2025</t>
  </si>
  <si>
    <t>Nitsuh Zewuditu and Frends</t>
  </si>
  <si>
    <t>Injera prodauction</t>
  </si>
  <si>
    <t>Fenta,Sifelig &amp; Frends</t>
  </si>
  <si>
    <t>Jan 05,2025</t>
  </si>
  <si>
    <t>Birtukan Emebet and frends</t>
  </si>
  <si>
    <t>Ttesga,Abebech and frends</t>
  </si>
  <si>
    <t>June  14,2025</t>
  </si>
  <si>
    <t>Mahalet Misganw</t>
  </si>
  <si>
    <t>child cloth butik</t>
  </si>
  <si>
    <t>Getachew Muluneh</t>
  </si>
  <si>
    <t>Resturant</t>
  </si>
  <si>
    <t>Jemila Rehiet</t>
  </si>
  <si>
    <t>Julay  3,2025</t>
  </si>
  <si>
    <t>Ambel Tesfaw</t>
  </si>
  <si>
    <t>Agere wassie</t>
  </si>
  <si>
    <t>Café and resturant</t>
  </si>
  <si>
    <t>Alemitu mule and frends</t>
  </si>
  <si>
    <t>Electronics shope</t>
  </si>
  <si>
    <t>Samrawit Simeneh</t>
  </si>
  <si>
    <t>Mirte Asmare</t>
  </si>
  <si>
    <t>Beutiy salon</t>
  </si>
  <si>
    <t>Netsanet Mengiste</t>
  </si>
  <si>
    <t>Liqud soap production</t>
  </si>
  <si>
    <t>Abebe Eriste and frends</t>
  </si>
  <si>
    <t>yes</t>
  </si>
  <si>
    <t>September 18,2025</t>
  </si>
  <si>
    <t>Habtamu Abrarawu and frends</t>
  </si>
  <si>
    <t>Poultry production</t>
  </si>
  <si>
    <t>Gtetachew Simeneh</t>
  </si>
  <si>
    <t>Adane Abate</t>
  </si>
  <si>
    <t>Atsedemariyam Asefa</t>
  </si>
  <si>
    <t>Sofiya Tsegawu</t>
  </si>
  <si>
    <t>Ceral Trading</t>
  </si>
  <si>
    <t>Addise Simachew</t>
  </si>
  <si>
    <t>printing and copy service</t>
  </si>
  <si>
    <t>Firezer Ambawu</t>
  </si>
  <si>
    <t>Genet Tazebew</t>
  </si>
  <si>
    <t>Buitiy salon</t>
  </si>
  <si>
    <t>Tigist Amagnu</t>
  </si>
  <si>
    <t>October 8,2025</t>
  </si>
  <si>
    <t>Andualem tekile and frends</t>
  </si>
  <si>
    <t>Atsede Alemu</t>
  </si>
  <si>
    <t>Sifelig Agegnehu and frends</t>
  </si>
  <si>
    <t>enjera production and selling</t>
  </si>
  <si>
    <t>Tsedeniya Biyadigilign</t>
  </si>
  <si>
    <t>Hiwot Ayele</t>
  </si>
  <si>
    <t>September 20,2025</t>
  </si>
  <si>
    <t>Tesfa Abebe</t>
  </si>
  <si>
    <t>Emebet Mihiret</t>
  </si>
  <si>
    <t>Netesanet Mekuriyawu</t>
  </si>
  <si>
    <t>Elsabet Admasu</t>
  </si>
  <si>
    <t>Samirawt Sisay</t>
  </si>
  <si>
    <t>Dce 11,2024</t>
  </si>
  <si>
    <t>Challe Muhamed and Frends</t>
  </si>
  <si>
    <t>Stove production and mainatanace</t>
  </si>
  <si>
    <t>Yasin Kedir and Frends</t>
  </si>
  <si>
    <t>Photocopy</t>
  </si>
  <si>
    <t>Jan16,2025</t>
  </si>
  <si>
    <t>Banchamilak Selamawit and Frends</t>
  </si>
  <si>
    <t>Januay 28,2025</t>
  </si>
  <si>
    <t>Mekdes Fentaye and frends</t>
  </si>
  <si>
    <t>Feb 7,2025</t>
  </si>
  <si>
    <t>Yenework medihanit and frends</t>
  </si>
  <si>
    <t>Feb 09 ,2025</t>
  </si>
  <si>
    <t>Hiwot yimegushal and frends</t>
  </si>
  <si>
    <t>Aprill 3,2025</t>
  </si>
  <si>
    <t>Zenash Meseret and frends</t>
  </si>
  <si>
    <t>May 8,2025</t>
  </si>
  <si>
    <t>Kalkidan Alemnesh and frends</t>
  </si>
  <si>
    <t>May 19,2025</t>
  </si>
  <si>
    <t>Adina Kalkidan and frends</t>
  </si>
  <si>
    <t>Birtukan Selamawit and frends</t>
  </si>
  <si>
    <t>Birhanu Yibeltal and frends</t>
  </si>
  <si>
    <t>June21,2025</t>
  </si>
  <si>
    <t>Fetahun,Tizazu frends</t>
  </si>
  <si>
    <t>Restorant</t>
  </si>
  <si>
    <t>June 21,2025</t>
  </si>
  <si>
    <t>Getahun Embiyale</t>
  </si>
  <si>
    <t>Emebet Minilik</t>
  </si>
  <si>
    <t>June20,2025</t>
  </si>
  <si>
    <t>Mekides Wolelaw</t>
  </si>
  <si>
    <t>Bilal Atikilit and frends</t>
  </si>
  <si>
    <t>Talorining</t>
  </si>
  <si>
    <t>June 3,2025</t>
  </si>
  <si>
    <t>Abelnesh mastewal and frends</t>
  </si>
  <si>
    <t>Sosina, Haile &amp; friends</t>
  </si>
  <si>
    <t>Food product selling</t>
  </si>
  <si>
    <t>Amanuel Desalegn</t>
  </si>
  <si>
    <t>Mobile Maintenance</t>
  </si>
  <si>
    <t>Julay  11,2025</t>
  </si>
  <si>
    <t>Yeshambel Amare Gedamu</t>
  </si>
  <si>
    <t>Wood work</t>
  </si>
  <si>
    <t>Habtamu Tirualem Desse</t>
  </si>
  <si>
    <t>Bilal Tigist and frends</t>
  </si>
  <si>
    <t>Game house/sport</t>
  </si>
  <si>
    <t>September 25,2025</t>
  </si>
  <si>
    <t>Tision Mekunanit</t>
  </si>
  <si>
    <t>Augest 30,2025</t>
  </si>
  <si>
    <t>Emebet Takele</t>
  </si>
  <si>
    <t>Male buty salon</t>
  </si>
  <si>
    <t>Simegnish Chekula &amp; fernds</t>
  </si>
  <si>
    <t>Alelign Misganaw</t>
  </si>
  <si>
    <t>Dagmawi Minilik</t>
  </si>
  <si>
    <t>Tigist Tesfa</t>
  </si>
  <si>
    <t>G/michalel Melkamu</t>
  </si>
  <si>
    <t>Electronics maintenance</t>
  </si>
  <si>
    <t>Fatuma Alemu</t>
  </si>
  <si>
    <t>tradtional cloths product</t>
  </si>
  <si>
    <t>Tadelech Eyerus &amp; Frends</t>
  </si>
  <si>
    <t>September 25,2026</t>
  </si>
  <si>
    <t>Yizanu Dinkayehu</t>
  </si>
  <si>
    <t>Aprill 14,2025</t>
  </si>
  <si>
    <t>Tsedale Biset</t>
  </si>
  <si>
    <t>children butique</t>
  </si>
  <si>
    <t>Haregewoyine selam &amp;frends</t>
  </si>
  <si>
    <t>Cattel fattening</t>
  </si>
  <si>
    <t>May 09,2025</t>
  </si>
  <si>
    <t>Ayalnesh Tadelle</t>
  </si>
  <si>
    <t>Yeshimebet Yibeltal</t>
  </si>
  <si>
    <t>Shirobet</t>
  </si>
  <si>
    <t>June 29,22025</t>
  </si>
  <si>
    <t>Fasilo</t>
  </si>
  <si>
    <t>Meron mekdes &amp; frends</t>
  </si>
  <si>
    <t>Julay 4,2025</t>
  </si>
  <si>
    <t>Selam meseret &amp; frends</t>
  </si>
  <si>
    <t>Injera prodaction</t>
  </si>
  <si>
    <t>Jualy 4,2025</t>
  </si>
  <si>
    <t>Mekdes Yagerzena &amp; frends</t>
  </si>
  <si>
    <t>Tewodros Tamiru &amp; frends</t>
  </si>
  <si>
    <t>Etubdink mesafint &amp; frends</t>
  </si>
  <si>
    <t>Arada</t>
  </si>
  <si>
    <t>Emebet Mekdes and frends</t>
  </si>
  <si>
    <t>Bar and resturant</t>
  </si>
  <si>
    <t>Augest 1,2025</t>
  </si>
  <si>
    <t>Azeb Saba and frends</t>
  </si>
  <si>
    <t>Baltina</t>
  </si>
  <si>
    <t>Maritu Sisay</t>
  </si>
  <si>
    <t>Haymanot Teshager</t>
  </si>
  <si>
    <t>Esubalew Tesfahun</t>
  </si>
  <si>
    <t>Yeshiwas Lakew</t>
  </si>
  <si>
    <t>Candile production</t>
  </si>
  <si>
    <t>Augest 20.2025</t>
  </si>
  <si>
    <t>Atikilt Asres</t>
  </si>
  <si>
    <t>Birtukan Adugna</t>
  </si>
  <si>
    <t>September 20.2025</t>
  </si>
  <si>
    <t>Merewa Muhamed</t>
  </si>
  <si>
    <t>Atsede Getu</t>
  </si>
  <si>
    <t>Cosmotics shope</t>
  </si>
  <si>
    <t>Ambachew ermiyas and frends</t>
  </si>
  <si>
    <t>Café and restorant</t>
  </si>
  <si>
    <t>Wosen Teferi</t>
  </si>
  <si>
    <t>June  15,2025</t>
  </si>
  <si>
    <t>Serkalem,Yeshiwork and frends</t>
  </si>
  <si>
    <t>Muluwork Wasihun</t>
  </si>
  <si>
    <t>June  11,2025</t>
  </si>
  <si>
    <t>Adina ayalew</t>
  </si>
  <si>
    <t>Almond preparation</t>
  </si>
  <si>
    <t>Hregewoyin Tsegaw</t>
  </si>
  <si>
    <t>Sintayehu Andualem</t>
  </si>
  <si>
    <t>Female Butiy Salon</t>
  </si>
  <si>
    <t>Samuel Ayehu</t>
  </si>
  <si>
    <t>Animal rearining</t>
  </si>
  <si>
    <t>Yalemwork Reda</t>
  </si>
  <si>
    <t>Zobel</t>
  </si>
  <si>
    <t>Hiwot Abosent and frends</t>
  </si>
  <si>
    <t>Mulu abebe Ayalew</t>
  </si>
  <si>
    <t>Julay  3 2025</t>
  </si>
  <si>
    <t>Banchamlak Ascalew</t>
  </si>
  <si>
    <t>Injera production</t>
  </si>
  <si>
    <t>Elsa ,Erkitu &amp; friends</t>
  </si>
  <si>
    <t>Julay 21,2025</t>
  </si>
  <si>
    <t>Raheal Ertachew</t>
  </si>
  <si>
    <t>Muluken Akenaw</t>
  </si>
  <si>
    <t>Tesfanesh Yalewu</t>
  </si>
  <si>
    <t>September 21,2025</t>
  </si>
  <si>
    <t>Mulualem Malede</t>
  </si>
  <si>
    <t>Tradtional coffe</t>
  </si>
  <si>
    <t>Julay 22,2025</t>
  </si>
  <si>
    <t>Gizework emebet and frends</t>
  </si>
  <si>
    <t>Kalkidan Eyayu</t>
  </si>
  <si>
    <t>September22,2025</t>
  </si>
  <si>
    <t>Wubshet yosef and frends</t>
  </si>
  <si>
    <t>Laundery</t>
  </si>
  <si>
    <t>Elsa Haynmanot and frends</t>
  </si>
  <si>
    <t>Mahariy Bahitay Ambaye</t>
  </si>
  <si>
    <t>Aster Yemikir</t>
  </si>
  <si>
    <t>Mekuanint Betelihem and frends</t>
  </si>
  <si>
    <t>Care sparpartes</t>
  </si>
  <si>
    <t>Kalkidan Nega</t>
  </si>
  <si>
    <t>Hana Fentabil</t>
  </si>
  <si>
    <t>Amsalu,meseret and frends</t>
  </si>
  <si>
    <t>Dinkie Abay</t>
  </si>
  <si>
    <t>Malt production and selling</t>
  </si>
  <si>
    <t>Mahalet Alemu</t>
  </si>
  <si>
    <t>Felegush Zewude</t>
  </si>
  <si>
    <t>Seble Desalegn</t>
  </si>
  <si>
    <t>Mekdes Firew</t>
  </si>
  <si>
    <t>Efrata Dessie</t>
  </si>
  <si>
    <t>Female Beutiy salon</t>
  </si>
  <si>
    <t>Firewoyine Abuhay</t>
  </si>
  <si>
    <t>Seblewongel Tarekegn</t>
  </si>
  <si>
    <t>Selam Tasew</t>
  </si>
  <si>
    <t>Amanuel Yosef</t>
  </si>
  <si>
    <t>October 1,2025</t>
  </si>
  <si>
    <t>Meron Chalachew</t>
  </si>
  <si>
    <t>Jualy 3,2025</t>
  </si>
  <si>
    <t>Matiyas Alehegn</t>
  </si>
  <si>
    <t>Sheep rearining</t>
  </si>
  <si>
    <t>Eskedar Fentahun</t>
  </si>
  <si>
    <t>Augest 26,2025</t>
  </si>
  <si>
    <t>Filmon Ephirem</t>
  </si>
  <si>
    <t>Shawore service</t>
  </si>
  <si>
    <t>October 26,2025</t>
  </si>
  <si>
    <t>Fitig Amare</t>
  </si>
  <si>
    <t>Hana Melese</t>
  </si>
  <si>
    <t>Bkaery/bread production</t>
  </si>
  <si>
    <t>Wubdil Wubtsega</t>
  </si>
  <si>
    <t>Paper bag production</t>
  </si>
  <si>
    <t>Banchigize Ligalem</t>
  </si>
  <si>
    <t>Betelihem Tekeba</t>
  </si>
  <si>
    <t>Tadele tesfahun</t>
  </si>
  <si>
    <t>Dagmawit Shumiye</t>
  </si>
  <si>
    <t>Animal fatnining</t>
  </si>
  <si>
    <t>Chalachwew Daganwu</t>
  </si>
  <si>
    <t>Julay,10,2025</t>
  </si>
  <si>
    <t>zobel</t>
  </si>
  <si>
    <t>Bizuayehu Atnafu</t>
  </si>
  <si>
    <t>Birtukan Megabiyawu</t>
  </si>
  <si>
    <t>Julay 31,2025</t>
  </si>
  <si>
    <t>May 20,2025</t>
  </si>
  <si>
    <t>Biruh Asefa</t>
  </si>
  <si>
    <t>Dairiy farming</t>
  </si>
  <si>
    <t>Asnakewu Tesfa</t>
  </si>
  <si>
    <t>Abrham Tilahun</t>
  </si>
  <si>
    <t>injera production</t>
  </si>
  <si>
    <t>tseday Bank</t>
  </si>
  <si>
    <t>Tesfahun Tsegaye</t>
  </si>
  <si>
    <t>Garaje work</t>
  </si>
  <si>
    <t>Habtemariyam Tilahun</t>
  </si>
  <si>
    <t>June 24,2025</t>
  </si>
  <si>
    <t>Mekdes Lakew</t>
  </si>
  <si>
    <t>Senaiyit jenberu</t>
  </si>
  <si>
    <t>Jualy 16,2025</t>
  </si>
  <si>
    <t>Agernesh Endeshawu</t>
  </si>
  <si>
    <t>Snack house</t>
  </si>
  <si>
    <t>Tibebeu Awoke</t>
  </si>
  <si>
    <t>Maza Gebre</t>
  </si>
  <si>
    <t>Rozina Admassu</t>
  </si>
  <si>
    <t>mulunesh Asmare</t>
  </si>
  <si>
    <t>Fre haile</t>
  </si>
  <si>
    <t>Amanuel Bichil</t>
  </si>
  <si>
    <t>Bakey/bread production</t>
  </si>
  <si>
    <t>Etenesh Nigusse</t>
  </si>
  <si>
    <t>Julay 28 ,2025</t>
  </si>
  <si>
    <t>Dawit zelalem &amp; frends</t>
  </si>
  <si>
    <t>september 29,2025</t>
  </si>
  <si>
    <t>Alemnesh Serkalem &amp;frends</t>
  </si>
  <si>
    <t>NO</t>
  </si>
  <si>
    <t>Hayat Mestawot &amp;frends</t>
  </si>
  <si>
    <t>September 11,2025</t>
  </si>
  <si>
    <t>Jantekel</t>
  </si>
  <si>
    <t>Fasika Reta and fernds</t>
  </si>
  <si>
    <t>Mini super market</t>
  </si>
  <si>
    <t>Dagim Danel and frends</t>
  </si>
  <si>
    <t>Samrawit Mahlet and frends</t>
  </si>
  <si>
    <t>June 8,2025</t>
  </si>
  <si>
    <t>Habtam melkie and frends</t>
  </si>
  <si>
    <t>Hiwot Eyassu and frends</t>
  </si>
  <si>
    <t>Car Décor</t>
  </si>
  <si>
    <t>Zeyniya Adem</t>
  </si>
  <si>
    <t>Cultural cloth seling</t>
  </si>
  <si>
    <t>Dagmawi abera</t>
  </si>
  <si>
    <t>Barber</t>
  </si>
  <si>
    <t>Mastewal Tsedeniya and frends</t>
  </si>
  <si>
    <t>Bayat Mulugeta</t>
  </si>
  <si>
    <t>Selamawit Fenta</t>
  </si>
  <si>
    <t>Kidist Kibru</t>
  </si>
  <si>
    <t>Efrata Tesfaye</t>
  </si>
  <si>
    <t>Makiba</t>
  </si>
  <si>
    <t>June 11,2025</t>
  </si>
  <si>
    <t>Senayte eskedar &amp; frends</t>
  </si>
  <si>
    <t>Wondim asefa &amp;frends</t>
  </si>
  <si>
    <t>used materiyal recycling</t>
  </si>
  <si>
    <t>June 12,2025</t>
  </si>
  <si>
    <t>Tigist Getenesh &amp;frends</t>
  </si>
  <si>
    <t>Solomon Kibret</t>
  </si>
  <si>
    <t>June15,2025</t>
  </si>
  <si>
    <t>Worke Simachew &amp; frends</t>
  </si>
  <si>
    <t>used materiyal buying and recycling</t>
  </si>
  <si>
    <t>June,15,2025</t>
  </si>
  <si>
    <t>Selam Tigist &amp; frends</t>
  </si>
  <si>
    <t>Adina Adimasu</t>
  </si>
  <si>
    <t>Henok Rahel &amp; frends</t>
  </si>
  <si>
    <t>June,16,2025</t>
  </si>
  <si>
    <t>Mahider Fasika &amp; frends</t>
  </si>
  <si>
    <t>June,26,2025</t>
  </si>
  <si>
    <t>Abebea Biruktawit &amp; frends</t>
  </si>
  <si>
    <t>Asmare Belayneh &amp; frends</t>
  </si>
  <si>
    <t>Poultry</t>
  </si>
  <si>
    <t>Aprill 11.2025</t>
  </si>
  <si>
    <t>June 25, 2025</t>
  </si>
  <si>
    <t>Meseret Kasaye &amp; frends</t>
  </si>
  <si>
    <t>Fasil Amanesh &amp;frends</t>
  </si>
  <si>
    <t>Aprill 30,2025</t>
  </si>
  <si>
    <t>Mekuanet ,Ermiyans &amp; Friends</t>
  </si>
  <si>
    <t>Sheep rearning</t>
  </si>
  <si>
    <t>June 26, 2025</t>
  </si>
  <si>
    <t>Zewudu kassa &amp; frends</t>
  </si>
  <si>
    <t>Atesede Etsubdink &amp;frends</t>
  </si>
  <si>
    <t>Mekdes Wolete &amp;frends</t>
  </si>
  <si>
    <t>June 28,2025</t>
  </si>
  <si>
    <t>Aster Haile</t>
  </si>
  <si>
    <t>Junlay 3, 2025</t>
  </si>
  <si>
    <t>Fasika Bizuneh &amp; frends</t>
  </si>
  <si>
    <t>Julay 3 2025</t>
  </si>
  <si>
    <t>Azezo</t>
  </si>
  <si>
    <t>Aster Abebe</t>
  </si>
  <si>
    <t>September 3 2025</t>
  </si>
  <si>
    <t>Mekdim Tekeba</t>
  </si>
  <si>
    <t>Elbetel Degu</t>
  </si>
  <si>
    <t>Beletu Erarto</t>
  </si>
  <si>
    <t>poultry</t>
  </si>
  <si>
    <t>Cheru Tigabu</t>
  </si>
  <si>
    <t>Julay 17,2025</t>
  </si>
  <si>
    <t>Mister Getaneh</t>
  </si>
  <si>
    <t>Fasika Abebe</t>
  </si>
  <si>
    <t>Photo Copy</t>
  </si>
  <si>
    <t>Tesfahun Yeshambel</t>
  </si>
  <si>
    <t>shope</t>
  </si>
  <si>
    <t>Julay 24, 2025</t>
  </si>
  <si>
    <t>Samirawit Molla</t>
  </si>
  <si>
    <t>Haymanot Birhanu</t>
  </si>
  <si>
    <t>Solomon, Banchamilak &amp; friends</t>
  </si>
  <si>
    <t>Tsadiku Abush</t>
  </si>
  <si>
    <t>Sitotawu Takele</t>
  </si>
  <si>
    <t>Feben Beyene</t>
  </si>
  <si>
    <t>Mekdes Melak</t>
  </si>
  <si>
    <t>Habte mengistu and frends</t>
  </si>
  <si>
    <t>Asres seble and frends</t>
  </si>
  <si>
    <t>Abebech Dagnaw</t>
  </si>
  <si>
    <t>Butiy salon</t>
  </si>
  <si>
    <t>Augest 23,2025</t>
  </si>
  <si>
    <t>Adisalem Zewudu</t>
  </si>
  <si>
    <t>Balitna</t>
  </si>
  <si>
    <t>Asmamaw Sitotawu</t>
  </si>
  <si>
    <t>Electronics</t>
  </si>
  <si>
    <t>Enatfenata Helen and frends</t>
  </si>
  <si>
    <t>September3 2025</t>
  </si>
  <si>
    <t>Chale Kassie</t>
  </si>
  <si>
    <t>Tiruye Dagnewu</t>
  </si>
  <si>
    <t>Ziyine Mebratu</t>
  </si>
  <si>
    <t>Banchy Abu</t>
  </si>
  <si>
    <t>Desalegn Akililu and frends</t>
  </si>
  <si>
    <t>Pull house</t>
  </si>
  <si>
    <t>Haimanot bedilu and frends</t>
  </si>
  <si>
    <t>Beteliem mequanit</t>
  </si>
  <si>
    <t>Bikalu Mihiret</t>
  </si>
  <si>
    <t>Gebre Gelaye</t>
  </si>
  <si>
    <t>Kasahun Adiss</t>
  </si>
  <si>
    <t>selling orthodox religious equpment</t>
  </si>
  <si>
    <t>Alemnesh Chekol</t>
  </si>
  <si>
    <t>Raniya Misrak and frends</t>
  </si>
  <si>
    <t>Abel G/tsadik and frends</t>
  </si>
  <si>
    <t>Misganaw Takele</t>
  </si>
  <si>
    <t>Moges Selamawit and frends</t>
  </si>
  <si>
    <t>selling of buity salon equpments</t>
  </si>
  <si>
    <t>Alemnat woretaw</t>
  </si>
  <si>
    <t>Mekonene Alemneh</t>
  </si>
  <si>
    <t>G/mikael Shumete</t>
  </si>
  <si>
    <t>Meall house</t>
  </si>
  <si>
    <t>Zekariyas Biyadigilign</t>
  </si>
  <si>
    <t>Betelihem Andargie</t>
  </si>
  <si>
    <t>Eyerus Tigist &amp; Frends</t>
  </si>
  <si>
    <t>Julay 16 ,2025</t>
  </si>
  <si>
    <t>Sisay elsabet&amp;</t>
  </si>
  <si>
    <t>Augest,18,2025</t>
  </si>
  <si>
    <t>Danel asnakewu &amp;frends</t>
  </si>
  <si>
    <t>Rout Kassa</t>
  </si>
  <si>
    <t>Mulumebet Mihiret</t>
  </si>
  <si>
    <t>Atsede alemtshey &amp;frends</t>
  </si>
  <si>
    <t>Augest 16,2025</t>
  </si>
  <si>
    <t>Nardos Melkie</t>
  </si>
  <si>
    <t>Sanck house</t>
  </si>
  <si>
    <t>Augest 22,2025</t>
  </si>
  <si>
    <t>Tadila Worku</t>
  </si>
  <si>
    <t>Min- market</t>
  </si>
  <si>
    <t>Julay, 24 2025</t>
  </si>
  <si>
    <t>Ayalnesh Abebe</t>
  </si>
  <si>
    <t>September 12,2025</t>
  </si>
  <si>
    <t>Senayit Abriham</t>
  </si>
  <si>
    <t>Maraki</t>
  </si>
  <si>
    <t>Gebreye,Netysanet &amp; Friends</t>
  </si>
  <si>
    <t>June 14, 2025</t>
  </si>
  <si>
    <t>Birhanu Yetimwork &amp;frends</t>
  </si>
  <si>
    <t>cearial trading</t>
  </si>
  <si>
    <t>June  7,2025</t>
  </si>
  <si>
    <t>Sinafikish belaynesh and frends</t>
  </si>
  <si>
    <t>Bizuayehu Jejaneh</t>
  </si>
  <si>
    <t>Beletu Meku</t>
  </si>
  <si>
    <t>Kidist Helen and frends</t>
  </si>
  <si>
    <t>Mare wondimagegn</t>
  </si>
  <si>
    <t>Adissu Nigusse</t>
  </si>
  <si>
    <t>Getachew Girma</t>
  </si>
  <si>
    <t>Cearial trading</t>
  </si>
  <si>
    <t>Dinbulu Getahun</t>
  </si>
  <si>
    <t>Kasahun Beteha</t>
  </si>
  <si>
    <t>Haymanot Kassa</t>
  </si>
  <si>
    <t>Andinet Zeyiniya and frends</t>
  </si>
  <si>
    <t>wood selling</t>
  </si>
  <si>
    <t>Gebru Asmira and frends</t>
  </si>
  <si>
    <t>Bread production and selling</t>
  </si>
  <si>
    <t>Amlakie Gardew</t>
  </si>
  <si>
    <t>Julay 2,2025</t>
  </si>
  <si>
    <t>Julay  17,2025</t>
  </si>
  <si>
    <t>Marshet Mebiratu</t>
  </si>
  <si>
    <t>Jualy 24,2025</t>
  </si>
  <si>
    <t>Tizita Teyikew</t>
  </si>
  <si>
    <t>Tigist Addis</t>
  </si>
  <si>
    <t>Serkalem Nega</t>
  </si>
  <si>
    <t>Julay 30,2025</t>
  </si>
  <si>
    <t>Melish Manasibo</t>
  </si>
  <si>
    <t>Enaney Zewudu</t>
  </si>
  <si>
    <t>Butique</t>
  </si>
  <si>
    <t>Eshetu Wagnewu</t>
  </si>
  <si>
    <t>Garment and steach</t>
  </si>
  <si>
    <t>Fasil</t>
  </si>
  <si>
    <t>Liya Asmamaw</t>
  </si>
  <si>
    <t>Super market</t>
  </si>
  <si>
    <t>Getaneh Ayelign</t>
  </si>
  <si>
    <t>October, 1,2025</t>
  </si>
  <si>
    <t>Demoze Mihiret</t>
  </si>
  <si>
    <t>Saron Negasiy</t>
  </si>
  <si>
    <t>Yemisrach Eyerus and frends</t>
  </si>
  <si>
    <t>Liya worku sete</t>
  </si>
  <si>
    <t>Meseret Simenesh and frends</t>
  </si>
  <si>
    <t>Helen Kidist and frends</t>
  </si>
  <si>
    <t>Eskedar Zemanay and frends</t>
  </si>
  <si>
    <t>Adina ,meseret and frends</t>
  </si>
  <si>
    <t>Augest 20,2025</t>
  </si>
  <si>
    <t>Sheganesh Yigzawu</t>
  </si>
  <si>
    <t>Edom Shimelis</t>
  </si>
  <si>
    <t>Natnael Zeleke</t>
  </si>
  <si>
    <t>Biruk fenta and frends</t>
  </si>
  <si>
    <t>Mobile card disriution</t>
  </si>
  <si>
    <t>Misrak Alemu nigatu</t>
  </si>
  <si>
    <t>Girocery</t>
  </si>
  <si>
    <t>Manasib Ayalkibet</t>
  </si>
  <si>
    <t>Tesfahun Zewude</t>
  </si>
  <si>
    <t>Tesfamariyam Mulatu</t>
  </si>
  <si>
    <t>October, 22,2025</t>
  </si>
  <si>
    <t>Guade Tesfahun</t>
  </si>
  <si>
    <t>Jovaniy Alebachewu</t>
  </si>
  <si>
    <t>Hewan Begashawu</t>
  </si>
  <si>
    <t>Lidiya Takele</t>
  </si>
  <si>
    <t>Getachew Abebe</t>
  </si>
  <si>
    <t>Mastewal,belelihem and frends</t>
  </si>
  <si>
    <t>Emebet Ayenew</t>
  </si>
  <si>
    <t>Julay10,2025</t>
  </si>
  <si>
    <t>Meseret Gebreegizi</t>
  </si>
  <si>
    <t>Hewan Muluken</t>
  </si>
  <si>
    <t>Alemu Zegeye</t>
  </si>
  <si>
    <t>Tiruwork Mulu</t>
  </si>
  <si>
    <t>Senayit Tefera</t>
  </si>
  <si>
    <t>Firehiwot Adiss</t>
  </si>
  <si>
    <t>Selamawit Shibabaw</t>
  </si>
  <si>
    <t>Men butiy salon (Barber)</t>
  </si>
  <si>
    <t>Tiru Tsega</t>
  </si>
  <si>
    <t>Makida Shimels</t>
  </si>
  <si>
    <t>Tarikuwa Bihone</t>
  </si>
  <si>
    <t>Mitsilal Alem</t>
  </si>
  <si>
    <t>Samrawit Mulualem</t>
  </si>
  <si>
    <t>Emuye Tenaw</t>
  </si>
  <si>
    <t>Rediet Terfe</t>
  </si>
  <si>
    <t>Eliyas Desalegn and frends</t>
  </si>
  <si>
    <t>Tigist Masresha</t>
  </si>
  <si>
    <t>Alemnesh Tadesse</t>
  </si>
  <si>
    <t>Sosina Alehegn</t>
  </si>
  <si>
    <t>women Butiy salon</t>
  </si>
  <si>
    <t>Mikiyas Behailu &amp; frends</t>
  </si>
  <si>
    <t>Abebech Getachew</t>
  </si>
  <si>
    <t>Fikirte Bizuayehu</t>
  </si>
  <si>
    <t>Alemu Malede</t>
  </si>
  <si>
    <t>Sheep Fattining</t>
  </si>
  <si>
    <t>Yordanos Metishet &amp; frends</t>
  </si>
  <si>
    <t>lemlem alemtshay and frends</t>
  </si>
  <si>
    <t>Betelihem Adanech &amp;frends</t>
  </si>
  <si>
    <t>Mulualem Tenagne &amp; frends</t>
  </si>
  <si>
    <t>Selam Tinebeb &amp;frends</t>
  </si>
  <si>
    <t>Yes</t>
  </si>
  <si>
    <t>Zewuditu &amp; friends</t>
  </si>
  <si>
    <t>Melkame,Tigst &amp; friends</t>
  </si>
  <si>
    <t>Female beauty salon</t>
  </si>
  <si>
    <t>Mantegbosh &amp; friends</t>
  </si>
  <si>
    <t>Adise &amp; Birtukan</t>
  </si>
  <si>
    <t>Betelhem &amp; friends</t>
  </si>
  <si>
    <t>Tailoring/sinjer</t>
  </si>
  <si>
    <t>Yitaysh &amp; Banchu</t>
  </si>
  <si>
    <t>Animal raring</t>
  </si>
  <si>
    <t>Beemnet &amp; Wude</t>
  </si>
  <si>
    <t>Tguaded &amp; Wude</t>
  </si>
  <si>
    <t>Ziyn &amp;Yitaysh</t>
  </si>
  <si>
    <t>Animal fattening</t>
  </si>
  <si>
    <t>Abebech &amp; Genetie</t>
  </si>
  <si>
    <t>Sewareg &amp; Mastewal</t>
  </si>
  <si>
    <t>Oxen fattening</t>
  </si>
  <si>
    <t>Alganesh &amp; Belaynesh</t>
  </si>
  <si>
    <t>Hizbayush &amp; Sheganesh</t>
  </si>
  <si>
    <t>Abune &amp; Tayech</t>
  </si>
  <si>
    <t>Ayehush, Ayehush tiruneh</t>
  </si>
  <si>
    <t>yeneytu, Etenesh</t>
  </si>
  <si>
    <t>Mistrie, Dejtinu &amp; friends</t>
  </si>
  <si>
    <t>Birtukan &amp; Yabsira</t>
  </si>
  <si>
    <t>Birtukan &amp; Adanech</t>
  </si>
  <si>
    <t>Atklit &amp; Birtukan</t>
  </si>
  <si>
    <t>Birkie &amp; Fanaye</t>
  </si>
  <si>
    <t>Worknesh, Mulunesh</t>
  </si>
  <si>
    <t>Adanech &amp; Wubayehu</t>
  </si>
  <si>
    <t>Mebratie &amp; Zerfie</t>
  </si>
  <si>
    <t>Tigst, belaynesh</t>
  </si>
  <si>
    <t>Ajebush, Tigst</t>
  </si>
  <si>
    <t>Birtukan, Mastewal</t>
  </si>
  <si>
    <t>Selamawit Alebel</t>
  </si>
  <si>
    <t>Yeshi, Meron &amp; friends</t>
  </si>
  <si>
    <t>Mantegbosh, Nardos &amp; friends</t>
  </si>
  <si>
    <t>Erstie, Belaynesh &amp; friends</t>
  </si>
  <si>
    <t>Mini-shop</t>
  </si>
  <si>
    <t>Yekte Tesfaye</t>
  </si>
  <si>
    <t>Tamirat Alemnew</t>
  </si>
  <si>
    <t>Tesfaye Gashaw</t>
  </si>
  <si>
    <t>Adina, Askal &amp; friends</t>
  </si>
  <si>
    <t>Tadfalech Alemu</t>
  </si>
  <si>
    <t>Melaku Mulie</t>
  </si>
  <si>
    <t>Habtam Nigusie</t>
  </si>
  <si>
    <t>Samrawit Eshetie</t>
  </si>
  <si>
    <t>Shega, Abebech &amp; friends</t>
  </si>
  <si>
    <t>Dinbulu, Wube &amp; friends</t>
  </si>
  <si>
    <t>Weaving</t>
  </si>
  <si>
    <t>Fre, Betelhem &amp; friends</t>
  </si>
  <si>
    <t>Tigst, Menasha &amp; friends</t>
  </si>
  <si>
    <t>snack house</t>
  </si>
  <si>
    <t>Abegiya Birhanu</t>
  </si>
  <si>
    <t>Yenenesh Demlie</t>
  </si>
  <si>
    <t>Agereselam Melkamu</t>
  </si>
  <si>
    <t>Liquid soap</t>
  </si>
  <si>
    <t>Yibeltal Worku</t>
  </si>
  <si>
    <t>Lubricate selling</t>
  </si>
  <si>
    <t>Adina, Yayesh &amp; friends</t>
  </si>
  <si>
    <t>Tailoring/Sinjer</t>
  </si>
  <si>
    <t>Tiruneh, Birhanu &amp; friends</t>
  </si>
  <si>
    <t>Emuye Mihret</t>
  </si>
  <si>
    <t>Mulunesh Zewudu</t>
  </si>
  <si>
    <t>Netsanet Mekuriyaw</t>
  </si>
  <si>
    <t>Getachew, Meskerem</t>
  </si>
  <si>
    <t>Labyajo</t>
  </si>
  <si>
    <t>Tekumawy, Selamawit &amp; friends</t>
  </si>
  <si>
    <t>Beletu, Dereje &amp; friends</t>
  </si>
  <si>
    <t>Meseret, Walelgn &amp; friends</t>
  </si>
  <si>
    <t>Atkilt, Setech &amp; friends</t>
  </si>
  <si>
    <t>Sintayehu, Biniyam &amp; friends</t>
  </si>
  <si>
    <t>Sheep rearing</t>
  </si>
  <si>
    <t>Mulu, Beselam &amp; friends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</si>
</sst>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_(* \(#,##0.00\);_(* &quot;-&quot;??_);_(@_)"/>
    <numFmt numFmtId="164" formatCode="mmmm\ d\,yyyy"/>
    <numFmt numFmtId="165" formatCode="mmmm\ d\,\ yyyy"/>
    <numFmt numFmtId="166" formatCode="mmmmd\,yyyy"/>
    <numFmt numFmtId="167" formatCode="mmmmd\ \,yyyy"/>
    <numFmt numFmtId="168" formatCode="mmmm\ d\ \,yyyy"/>
    <numFmt numFmtId="169" formatCode="mmmm\ dd\,yyyy"/>
    <numFmt numFmtId="170" formatCode="mmm\ d\,yyyy"/>
    <numFmt numFmtId="171" formatCode="mmmm\,d\,yyyy"/>
    <numFmt numFmtId="172" formatCode="mmm\ dd\,yyyy"/>
    <numFmt numFmtId="173" formatCode="mmmd\,yyyy"/>
    <numFmt numFmtId="174" formatCode="mmmm\ d\ yyyy"/>
    <numFmt numFmtId="175" formatCode="mmmm\ \,d\ \,yyyy"/>
    <numFmt numFmtId="176" formatCode="mmmm\ d/yyyy"/>
    <numFmt numFmtId="177" formatCode="mmm\ d/yyyy"/>
  </numFmts>
  <fonts count="14">
    <font>
      <sz val="11"/>
      <color theme="1"/>
      <name val="Calibri"/>
      <scheme val="minor"/>
    </font>
    <font>
      <sz val="11"/>
      <color theme="1"/>
      <name val="Calibri"/>
      <family val="2"/>
      <scheme val="minor"/>
    </font>
    <font>
      <b/>
      <sz val="10"/>
      <color theme="1"/>
      <name val="Calibri"/>
      <family val="2"/>
    </font>
    <font>
      <b/>
      <sz val="9"/>
      <color theme="1"/>
      <name val="Calibri"/>
      <family val="2"/>
    </font>
    <font>
      <sz val="11"/>
      <color theme="1"/>
      <name val="Calibri"/>
      <family val="2"/>
    </font>
    <font>
      <sz val="11"/>
      <color rgb="FF000000"/>
      <name val="Calibri"/>
      <family val="2"/>
    </font>
    <font>
      <sz val="11"/>
      <color rgb="FF000000"/>
      <name val="Calibri"/>
      <family val="2"/>
    </font>
    <font>
      <sz val="9"/>
      <color rgb="FF000000"/>
      <name val="Calibri"/>
      <family val="2"/>
    </font>
    <font>
      <sz val="10"/>
      <color theme="1"/>
      <name val="Calibri"/>
      <family val="2"/>
    </font>
    <font>
      <sz val="9"/>
      <color rgb="FF000000"/>
      <name val="&quot;Times New Roman&quot;"/>
    </font>
    <font>
      <sz val="8"/>
      <color rgb="FF000000"/>
      <name val="Calibri"/>
      <family val="2"/>
    </font>
    <font>
      <sz val="10"/>
      <color rgb="FF44546A"/>
      <name val="Calibri"/>
      <family val="2"/>
    </font>
    <font>
      <sz val="11"/>
      <color rgb="FF44546A"/>
      <name val="Calibri"/>
      <family val="2"/>
    </font>
    <font>
      <sz val="9"/>
      <color rgb="FF44546A"/>
      <name val="Calibri"/>
      <family val="2"/>
    </font>
  </fonts>
  <fills count="12">
    <fill>
      <patternFill patternType="none"/>
    </fill>
    <fill>
      <patternFill patternType="gray125"/>
    </fill>
    <fill>
      <patternFill patternType="solid">
        <fgColor rgb="FFD5A6BD"/>
        <bgColor rgb="FFD5A6BD"/>
      </patternFill>
    </fill>
    <fill>
      <patternFill patternType="solid">
        <fgColor rgb="FFFFFFFF"/>
        <bgColor rgb="FFFFFFFF"/>
      </patternFill>
    </fill>
    <fill>
      <patternFill patternType="solid">
        <fgColor theme="0"/>
        <bgColor theme="0"/>
      </patternFill>
    </fill>
    <fill>
      <patternFill patternType="solid">
        <fgColor rgb="FFFBE4D5"/>
        <bgColor rgb="FFFBE4D5"/>
      </patternFill>
    </fill>
    <fill>
      <patternFill patternType="solid">
        <fgColor rgb="FFFFF2CC"/>
        <bgColor rgb="FFFFF2CC"/>
      </patternFill>
    </fill>
    <fill>
      <patternFill patternType="solid">
        <fgColor rgb="FFF7CAAC"/>
        <bgColor rgb="FFF7CAAC"/>
      </patternFill>
    </fill>
    <fill>
      <patternFill patternType="solid">
        <fgColor rgb="FFFCE4D6"/>
        <bgColor rgb="FFFCE4D6"/>
      </patternFill>
    </fill>
    <fill>
      <patternFill patternType="solid">
        <fgColor rgb="FFFFFF00"/>
        <bgColor rgb="FFFFFF00"/>
      </patternFill>
    </fill>
    <fill>
      <patternFill patternType="solid">
        <fgColor rgb="FFF8CBAD"/>
        <bgColor rgb="FFF8CBAD"/>
      </patternFill>
    </fill>
    <fill>
      <patternFill patternType="solid">
        <fgColor rgb="FFE2EFDA"/>
        <bgColor rgb="FFE2EFDA"/>
      </patternFill>
    </fill>
  </fills>
  <borders count="28">
    <border>
      <left/>
      <right/>
      <top/>
      <bottom/>
      <diagonal/>
    </border>
    <border>
      <left style="hair">
        <color rgb="FF00FF00"/>
      </left>
      <right style="double">
        <color rgb="FF00FF00"/>
      </right>
      <top style="hair">
        <color rgb="FF00FF00"/>
      </top>
      <bottom style="thin">
        <color rgb="FF000000"/>
      </bottom>
      <diagonal/>
    </border>
    <border>
      <left style="double">
        <color rgb="FF00FF00"/>
      </left>
      <right style="double">
        <color rgb="FF00FF00"/>
      </right>
      <top style="hair">
        <color rgb="FF00FF00"/>
      </top>
      <bottom/>
      <diagonal/>
    </border>
    <border>
      <left style="double">
        <color rgb="FF00FF00"/>
      </left>
      <right style="double">
        <color rgb="FF00FF00"/>
      </right>
      <top style="hair">
        <color rgb="FF00FF00"/>
      </top>
      <bottom style="thin">
        <color rgb="FF000000"/>
      </bottom>
      <diagonal/>
    </border>
    <border>
      <left style="double">
        <color rgb="FF00FF00"/>
      </left>
      <right style="double">
        <color rgb="FF00FF00"/>
      </right>
      <top style="hair">
        <color rgb="FF00FF00"/>
      </top>
      <bottom/>
      <diagonal/>
    </border>
    <border>
      <left style="double">
        <color rgb="FF00FF00"/>
      </left>
      <right style="hair">
        <color rgb="FF00FF00"/>
      </right>
      <top style="hair">
        <color rgb="FF00FF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double">
        <color rgb="FF00FF00"/>
      </left>
      <right style="double">
        <color rgb="FF00FF00"/>
      </right>
      <top/>
      <bottom/>
      <diagonal/>
    </border>
    <border>
      <left style="double">
        <color rgb="FF00FF00"/>
      </left>
      <right style="double">
        <color rgb="FF00FF00"/>
      </right>
      <top style="thin">
        <color rgb="FF000000"/>
      </top>
      <bottom style="thin">
        <color rgb="FF000000"/>
      </bottom>
      <diagonal/>
    </border>
    <border>
      <left style="double">
        <color rgb="FF00FF00"/>
      </left>
      <right style="hair">
        <color rgb="FF00FF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double">
        <color rgb="FF00FF00"/>
      </left>
      <right style="hair">
        <color rgb="FF00FF00"/>
      </right>
      <top style="thin">
        <color rgb="FF000000"/>
      </top>
      <bottom/>
      <diagonal/>
    </border>
    <border>
      <left style="double">
        <color rgb="FF00FF00"/>
      </left>
      <right style="hair">
        <color rgb="FF00FF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double">
        <color rgb="FF00FF00"/>
      </left>
      <right style="hair">
        <color rgb="FF00FF00"/>
      </right>
      <top/>
      <bottom/>
      <diagonal/>
    </border>
    <border>
      <left style="double">
        <color rgb="FF00FF00"/>
      </left>
      <right style="double">
        <color rgb="FF00FF00"/>
      </right>
      <top style="thin">
        <color rgb="FF000000"/>
      </top>
      <bottom/>
      <diagonal/>
    </border>
    <border>
      <left style="double">
        <color rgb="FF00FF00"/>
      </left>
      <right style="double">
        <color rgb="FF00FF00"/>
      </right>
      <top/>
      <bottom style="hair">
        <color rgb="FF00FF00"/>
      </bottom>
      <diagonal/>
    </border>
    <border>
      <left style="double">
        <color rgb="FF00FF00"/>
      </left>
      <right style="double">
        <color rgb="FF00FF00"/>
      </right>
      <top style="thin">
        <color rgb="FF000000"/>
      </top>
      <bottom style="hair">
        <color rgb="FF00FF00"/>
      </bottom>
      <diagonal/>
    </border>
    <border>
      <left style="double">
        <color rgb="FF00FF00"/>
      </left>
      <right style="hair">
        <color rgb="FF00FF00"/>
      </right>
      <top style="thin">
        <color rgb="FF000000"/>
      </top>
      <bottom style="hair">
        <color rgb="FF00FF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99">
    <xf numFmtId="0" fontId="0" fillId="0" borderId="0" xfId="0" applyFont="1" applyAlignment="1"/>
    <xf numFmtId="0" fontId="1" fillId="0" borderId="0" xfId="0" applyFont="1"/>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3" fillId="2" borderId="3" xfId="0" applyFont="1" applyFill="1" applyBorder="1" applyAlignment="1">
      <alignment horizontal="left" vertical="center" wrapText="1"/>
    </xf>
    <xf numFmtId="0" fontId="4" fillId="2" borderId="4" xfId="0" applyFont="1" applyFill="1" applyBorder="1" applyAlignment="1">
      <alignment wrapText="1"/>
    </xf>
    <xf numFmtId="0" fontId="4" fillId="2" borderId="5" xfId="0" applyFont="1" applyFill="1" applyBorder="1" applyAlignment="1">
      <alignment wrapText="1"/>
    </xf>
    <xf numFmtId="0" fontId="4" fillId="2" borderId="0" xfId="0" applyFont="1" applyFill="1" applyAlignment="1">
      <alignment wrapText="1"/>
    </xf>
    <xf numFmtId="0" fontId="2" fillId="2" borderId="6" xfId="0" applyFont="1" applyFill="1" applyBorder="1" applyAlignment="1">
      <alignment horizontal="center" vertical="center" wrapText="1"/>
    </xf>
    <xf numFmtId="0" fontId="2" fillId="2" borderId="7" xfId="0" applyFont="1" applyFill="1" applyBorder="1" applyAlignment="1">
      <alignment vertical="center" wrapText="1"/>
    </xf>
    <xf numFmtId="0" fontId="2" fillId="2" borderId="8" xfId="0" applyFont="1" applyFill="1" applyBorder="1" applyAlignment="1">
      <alignment vertical="center" wrapText="1"/>
    </xf>
    <xf numFmtId="0" fontId="2" fillId="2" borderId="9" xfId="0" applyFont="1" applyFill="1" applyBorder="1" applyAlignment="1">
      <alignment vertical="center" wrapText="1"/>
    </xf>
    <xf numFmtId="0" fontId="5" fillId="0" borderId="10" xfId="0" applyFont="1" applyBorder="1" applyAlignment="1"/>
    <xf numFmtId="0" fontId="5" fillId="0" borderId="10" xfId="0" applyFont="1" applyBorder="1" applyAlignment="1">
      <alignment horizontal="left"/>
    </xf>
    <xf numFmtId="0" fontId="6" fillId="0" borderId="10" xfId="0" applyFont="1" applyBorder="1" applyAlignment="1"/>
    <xf numFmtId="0" fontId="6" fillId="0" borderId="10" xfId="0" applyFont="1" applyBorder="1" applyAlignment="1">
      <alignment horizontal="left"/>
    </xf>
    <xf numFmtId="43" fontId="6" fillId="0" borderId="10" xfId="0" applyNumberFormat="1" applyFont="1" applyBorder="1" applyAlignment="1"/>
    <xf numFmtId="164" fontId="7" fillId="0" borderId="10" xfId="0" applyNumberFormat="1" applyFont="1" applyBorder="1" applyAlignment="1">
      <alignment horizontal="right"/>
    </xf>
    <xf numFmtId="0" fontId="1" fillId="0" borderId="11" xfId="0" applyFont="1" applyBorder="1"/>
    <xf numFmtId="0" fontId="7" fillId="0" borderId="10" xfId="0" applyFont="1" applyBorder="1" applyAlignment="1">
      <alignment horizontal="right"/>
    </xf>
    <xf numFmtId="0" fontId="5" fillId="0" borderId="10" xfId="0" applyFont="1" applyBorder="1" applyAlignment="1"/>
    <xf numFmtId="0" fontId="4" fillId="0" borderId="12" xfId="0" applyFont="1" applyBorder="1" applyAlignment="1">
      <alignment horizontal="right"/>
    </xf>
    <xf numFmtId="0" fontId="8" fillId="0" borderId="13" xfId="0" applyFont="1" applyBorder="1" applyAlignment="1">
      <alignment horizontal="right"/>
    </xf>
    <xf numFmtId="0" fontId="7" fillId="0" borderId="10" xfId="0" applyFont="1" applyBorder="1" applyAlignment="1"/>
    <xf numFmtId="165" fontId="7" fillId="0" borderId="10" xfId="0" applyNumberFormat="1" applyFont="1" applyBorder="1" applyAlignment="1">
      <alignment horizontal="right"/>
    </xf>
    <xf numFmtId="166" fontId="7" fillId="0" borderId="10" xfId="0" applyNumberFormat="1" applyFont="1" applyBorder="1" applyAlignment="1">
      <alignment horizontal="right"/>
    </xf>
    <xf numFmtId="0" fontId="5" fillId="0" borderId="10" xfId="0" applyFont="1" applyBorder="1" applyAlignment="1">
      <alignment horizontal="right"/>
    </xf>
    <xf numFmtId="167" fontId="7" fillId="0" borderId="10" xfId="0" applyNumberFormat="1" applyFont="1" applyBorder="1" applyAlignment="1">
      <alignment horizontal="right"/>
    </xf>
    <xf numFmtId="168" fontId="7" fillId="0" borderId="10" xfId="0" applyNumberFormat="1" applyFont="1" applyBorder="1" applyAlignment="1">
      <alignment horizontal="right"/>
    </xf>
    <xf numFmtId="0" fontId="5" fillId="3" borderId="10" xfId="0" applyFont="1" applyFill="1" applyBorder="1" applyAlignment="1"/>
    <xf numFmtId="0" fontId="5" fillId="3" borderId="10" xfId="0" applyFont="1" applyFill="1" applyBorder="1" applyAlignment="1">
      <alignment horizontal="left"/>
    </xf>
    <xf numFmtId="0" fontId="6" fillId="3" borderId="10" xfId="0" applyFont="1" applyFill="1" applyBorder="1" applyAlignment="1"/>
    <xf numFmtId="43" fontId="6" fillId="3" borderId="10" xfId="0" applyNumberFormat="1" applyFont="1" applyFill="1" applyBorder="1" applyAlignment="1"/>
    <xf numFmtId="0" fontId="7" fillId="3" borderId="10" xfId="0" applyFont="1" applyFill="1" applyBorder="1" applyAlignment="1">
      <alignment horizontal="right"/>
    </xf>
    <xf numFmtId="0" fontId="7" fillId="3" borderId="10" xfId="0" applyFont="1" applyFill="1" applyBorder="1" applyAlignment="1"/>
    <xf numFmtId="0" fontId="5" fillId="3" borderId="10" xfId="0" applyFont="1" applyFill="1" applyBorder="1" applyAlignment="1">
      <alignment horizontal="right"/>
    </xf>
    <xf numFmtId="0" fontId="5" fillId="3" borderId="10" xfId="0" applyFont="1" applyFill="1" applyBorder="1" applyAlignment="1"/>
    <xf numFmtId="0" fontId="4" fillId="4" borderId="12" xfId="0" applyFont="1" applyFill="1" applyBorder="1" applyAlignment="1">
      <alignment horizontal="right"/>
    </xf>
    <xf numFmtId="0" fontId="8" fillId="4" borderId="13" xfId="0" applyFont="1" applyFill="1" applyBorder="1" applyAlignment="1">
      <alignment horizontal="right"/>
    </xf>
    <xf numFmtId="0" fontId="4" fillId="5" borderId="12" xfId="0" applyFont="1" applyFill="1" applyBorder="1" applyAlignment="1">
      <alignment horizontal="right"/>
    </xf>
    <xf numFmtId="0" fontId="8" fillId="5" borderId="13" xfId="0" applyFont="1" applyFill="1" applyBorder="1" applyAlignment="1">
      <alignment horizontal="right"/>
    </xf>
    <xf numFmtId="169" fontId="7" fillId="0" borderId="10" xfId="0" applyNumberFormat="1" applyFont="1" applyBorder="1" applyAlignment="1">
      <alignment horizontal="right"/>
    </xf>
    <xf numFmtId="170" fontId="7" fillId="0" borderId="10" xfId="0" applyNumberFormat="1" applyFont="1" applyBorder="1" applyAlignment="1">
      <alignment horizontal="right"/>
    </xf>
    <xf numFmtId="0" fontId="5" fillId="0" borderId="10" xfId="0" applyFont="1" applyBorder="1" applyAlignment="1"/>
    <xf numFmtId="0" fontId="5" fillId="0" borderId="10" xfId="0" applyFont="1" applyBorder="1" applyAlignment="1">
      <alignment horizontal="left"/>
    </xf>
    <xf numFmtId="171" fontId="7" fillId="0" borderId="10" xfId="0" applyNumberFormat="1" applyFont="1" applyBorder="1" applyAlignment="1">
      <alignment horizontal="right"/>
    </xf>
    <xf numFmtId="0" fontId="7" fillId="0" borderId="10" xfId="0" applyFont="1" applyBorder="1" applyAlignment="1"/>
    <xf numFmtId="0" fontId="5" fillId="6" borderId="10" xfId="0" applyFont="1" applyFill="1" applyBorder="1" applyAlignment="1">
      <alignment horizontal="left"/>
    </xf>
    <xf numFmtId="0" fontId="6" fillId="6" borderId="10" xfId="0" applyFont="1" applyFill="1" applyBorder="1" applyAlignment="1"/>
    <xf numFmtId="43" fontId="6" fillId="6" borderId="10" xfId="0" applyNumberFormat="1" applyFont="1" applyFill="1" applyBorder="1" applyAlignment="1"/>
    <xf numFmtId="14" fontId="7" fillId="6" borderId="10" xfId="0" applyNumberFormat="1" applyFont="1" applyFill="1" applyBorder="1" applyAlignment="1">
      <alignment horizontal="right"/>
    </xf>
    <xf numFmtId="0" fontId="7" fillId="6" borderId="10" xfId="0" applyFont="1" applyFill="1" applyBorder="1" applyAlignment="1">
      <alignment horizontal="right"/>
    </xf>
    <xf numFmtId="0" fontId="7" fillId="6" borderId="10" xfId="0" applyFont="1" applyFill="1" applyBorder="1" applyAlignment="1"/>
    <xf numFmtId="14" fontId="7" fillId="0" borderId="10" xfId="0" applyNumberFormat="1" applyFont="1" applyBorder="1" applyAlignment="1">
      <alignment horizontal="right"/>
    </xf>
    <xf numFmtId="172" fontId="7" fillId="0" borderId="10" xfId="0" applyNumberFormat="1" applyFont="1" applyBorder="1" applyAlignment="1">
      <alignment horizontal="right"/>
    </xf>
    <xf numFmtId="17" fontId="7" fillId="0" borderId="10" xfId="0" applyNumberFormat="1" applyFont="1" applyBorder="1" applyAlignment="1">
      <alignment horizontal="right"/>
    </xf>
    <xf numFmtId="0" fontId="4" fillId="7" borderId="12" xfId="0" applyFont="1" applyFill="1" applyBorder="1" applyAlignment="1">
      <alignment horizontal="right"/>
    </xf>
    <xf numFmtId="0" fontId="8" fillId="7" borderId="13" xfId="0" applyFont="1" applyFill="1" applyBorder="1" applyAlignment="1">
      <alignment horizontal="right"/>
    </xf>
    <xf numFmtId="0" fontId="8" fillId="0" borderId="12" xfId="0" applyFont="1" applyBorder="1" applyAlignment="1">
      <alignment horizontal="right"/>
    </xf>
    <xf numFmtId="170" fontId="9" fillId="0" borderId="10" xfId="0" applyNumberFormat="1" applyFont="1" applyBorder="1" applyAlignment="1">
      <alignment horizontal="right"/>
    </xf>
    <xf numFmtId="173" fontId="9" fillId="0" borderId="10" xfId="0" applyNumberFormat="1" applyFont="1" applyBorder="1" applyAlignment="1">
      <alignment horizontal="right"/>
    </xf>
    <xf numFmtId="164" fontId="9" fillId="0" borderId="10" xfId="0" applyNumberFormat="1" applyFont="1" applyBorder="1" applyAlignment="1">
      <alignment horizontal="right"/>
    </xf>
    <xf numFmtId="0" fontId="6" fillId="0" borderId="14" xfId="0" applyFont="1" applyBorder="1" applyAlignment="1"/>
    <xf numFmtId="0" fontId="7" fillId="0" borderId="14" xfId="0" applyFont="1" applyBorder="1" applyAlignment="1">
      <alignment horizontal="right"/>
    </xf>
    <xf numFmtId="43" fontId="6" fillId="0" borderId="14" xfId="0" applyNumberFormat="1" applyFont="1" applyBorder="1" applyAlignment="1"/>
    <xf numFmtId="174" fontId="7" fillId="0" borderId="10" xfId="0" applyNumberFormat="1" applyFont="1" applyBorder="1" applyAlignment="1">
      <alignment horizontal="right"/>
    </xf>
    <xf numFmtId="43" fontId="7" fillId="0" borderId="10" xfId="0" applyNumberFormat="1" applyFont="1" applyBorder="1" applyAlignment="1"/>
    <xf numFmtId="164" fontId="6" fillId="0" borderId="10" xfId="0" applyNumberFormat="1" applyFont="1" applyBorder="1" applyAlignment="1">
      <alignment horizontal="right"/>
    </xf>
    <xf numFmtId="0" fontId="6" fillId="0" borderId="10" xfId="0" applyFont="1" applyBorder="1" applyAlignment="1">
      <alignment horizontal="right"/>
    </xf>
    <xf numFmtId="0" fontId="6" fillId="0" borderId="10" xfId="0" applyFont="1" applyBorder="1" applyAlignment="1"/>
    <xf numFmtId="43" fontId="6" fillId="0" borderId="10" xfId="0" applyNumberFormat="1" applyFont="1" applyBorder="1" applyAlignment="1">
      <alignment horizontal="right"/>
    </xf>
    <xf numFmtId="0" fontId="8" fillId="5" borderId="12" xfId="0" applyFont="1" applyFill="1" applyBorder="1" applyAlignment="1">
      <alignment horizontal="right"/>
    </xf>
    <xf numFmtId="0" fontId="8" fillId="7" borderId="12" xfId="0" applyFont="1" applyFill="1" applyBorder="1" applyAlignment="1">
      <alignment horizontal="right"/>
    </xf>
    <xf numFmtId="43" fontId="7" fillId="6" borderId="10" xfId="0" applyNumberFormat="1" applyFont="1" applyFill="1" applyBorder="1" applyAlignment="1"/>
    <xf numFmtId="164" fontId="6" fillId="6" borderId="10" xfId="0" applyNumberFormat="1" applyFont="1" applyFill="1" applyBorder="1" applyAlignment="1">
      <alignment horizontal="right"/>
    </xf>
    <xf numFmtId="0" fontId="6" fillId="6" borderId="10" xfId="0" applyFont="1" applyFill="1" applyBorder="1" applyAlignment="1">
      <alignment horizontal="right"/>
    </xf>
    <xf numFmtId="0" fontId="5" fillId="8" borderId="10" xfId="0" applyFont="1" applyFill="1" applyBorder="1" applyAlignment="1">
      <alignment horizontal="left"/>
    </xf>
    <xf numFmtId="43" fontId="7" fillId="8" borderId="10" xfId="0" applyNumberFormat="1" applyFont="1" applyFill="1" applyBorder="1" applyAlignment="1"/>
    <xf numFmtId="164" fontId="6" fillId="8" borderId="10" xfId="0" applyNumberFormat="1" applyFont="1" applyFill="1" applyBorder="1" applyAlignment="1">
      <alignment horizontal="right"/>
    </xf>
    <xf numFmtId="0" fontId="6" fillId="8" borderId="10" xfId="0" applyFont="1" applyFill="1" applyBorder="1" applyAlignment="1"/>
    <xf numFmtId="0" fontId="6" fillId="8" borderId="10" xfId="0" applyFont="1" applyFill="1" applyBorder="1" applyAlignment="1">
      <alignment horizontal="right"/>
    </xf>
    <xf numFmtId="3" fontId="7" fillId="8" borderId="10" xfId="0" applyNumberFormat="1" applyFont="1" applyFill="1" applyBorder="1" applyAlignment="1"/>
    <xf numFmtId="3" fontId="7" fillId="0" borderId="10" xfId="0" applyNumberFormat="1" applyFont="1" applyBorder="1" applyAlignment="1"/>
    <xf numFmtId="0" fontId="8" fillId="0" borderId="16" xfId="0" applyFont="1" applyBorder="1" applyAlignment="1">
      <alignment horizontal="right"/>
    </xf>
    <xf numFmtId="0" fontId="8" fillId="4" borderId="12" xfId="0" applyFont="1" applyFill="1" applyBorder="1" applyAlignment="1">
      <alignment horizontal="right"/>
    </xf>
    <xf numFmtId="175" fontId="7" fillId="3" borderId="10" xfId="0" applyNumberFormat="1" applyFont="1" applyFill="1" applyBorder="1" applyAlignment="1">
      <alignment horizontal="right"/>
    </xf>
    <xf numFmtId="0" fontId="6" fillId="3" borderId="10" xfId="0" applyFont="1" applyFill="1" applyBorder="1" applyAlignment="1"/>
    <xf numFmtId="0" fontId="6" fillId="3" borderId="10" xfId="0" applyFont="1" applyFill="1" applyBorder="1" applyAlignment="1">
      <alignment horizontal="right"/>
    </xf>
    <xf numFmtId="164" fontId="7" fillId="3" borderId="10" xfId="0" applyNumberFormat="1" applyFont="1" applyFill="1" applyBorder="1" applyAlignment="1">
      <alignment horizontal="right"/>
    </xf>
    <xf numFmtId="165" fontId="7" fillId="3" borderId="10" xfId="0" applyNumberFormat="1" applyFont="1" applyFill="1" applyBorder="1" applyAlignment="1">
      <alignment horizontal="right"/>
    </xf>
    <xf numFmtId="0" fontId="6" fillId="3" borderId="10" xfId="0" applyFont="1" applyFill="1" applyBorder="1" applyAlignment="1">
      <alignment horizontal="left"/>
    </xf>
    <xf numFmtId="0" fontId="5" fillId="0" borderId="10" xfId="0" applyFont="1" applyBorder="1" applyAlignment="1"/>
    <xf numFmtId="0" fontId="5" fillId="9" borderId="10" xfId="0" applyFont="1" applyFill="1" applyBorder="1" applyAlignment="1">
      <alignment horizontal="right"/>
    </xf>
    <xf numFmtId="43" fontId="6" fillId="10" borderId="10" xfId="0" applyNumberFormat="1" applyFont="1" applyFill="1" applyBorder="1" applyAlignment="1"/>
    <xf numFmtId="171" fontId="7" fillId="10" borderId="10" xfId="0" applyNumberFormat="1" applyFont="1" applyFill="1" applyBorder="1" applyAlignment="1">
      <alignment horizontal="right"/>
    </xf>
    <xf numFmtId="0" fontId="6" fillId="10" borderId="10" xfId="0" applyFont="1" applyFill="1" applyBorder="1" applyAlignment="1"/>
    <xf numFmtId="0" fontId="6" fillId="10" borderId="10" xfId="0" applyFont="1" applyFill="1" applyBorder="1" applyAlignment="1">
      <alignment horizontal="right"/>
    </xf>
    <xf numFmtId="0" fontId="5" fillId="10" borderId="10" xfId="0" applyFont="1" applyFill="1" applyBorder="1" applyAlignment="1"/>
    <xf numFmtId="164" fontId="7" fillId="10" borderId="10" xfId="0" applyNumberFormat="1" applyFont="1" applyFill="1" applyBorder="1" applyAlignment="1">
      <alignment horizontal="right"/>
    </xf>
    <xf numFmtId="0" fontId="4" fillId="0" borderId="13" xfId="0" applyFont="1" applyBorder="1" applyAlignment="1">
      <alignment horizontal="right"/>
    </xf>
    <xf numFmtId="0" fontId="6" fillId="0" borderId="18" xfId="0" applyFont="1" applyBorder="1" applyAlignment="1"/>
    <xf numFmtId="43" fontId="6" fillId="0" borderId="18" xfId="0" applyNumberFormat="1" applyFont="1" applyBorder="1" applyAlignment="1"/>
    <xf numFmtId="0" fontId="6" fillId="0" borderId="19" xfId="0" applyFont="1" applyBorder="1" applyAlignment="1">
      <alignment horizontal="right"/>
    </xf>
    <xf numFmtId="0" fontId="6" fillId="0" borderId="19" xfId="0" applyFont="1" applyBorder="1" applyAlignment="1"/>
    <xf numFmtId="0" fontId="6" fillId="0" borderId="14" xfId="0" applyFont="1" applyBorder="1" applyAlignment="1">
      <alignment horizontal="right"/>
    </xf>
    <xf numFmtId="0" fontId="10" fillId="0" borderId="10" xfId="0" applyFont="1" applyBorder="1" applyAlignment="1"/>
    <xf numFmtId="43" fontId="12" fillId="0" borderId="10" xfId="0" applyNumberFormat="1" applyFont="1" applyBorder="1" applyAlignment="1"/>
    <xf numFmtId="0" fontId="12" fillId="0" borderId="10" xfId="0" applyFont="1" applyBorder="1" applyAlignment="1"/>
    <xf numFmtId="0" fontId="12" fillId="0" borderId="10" xfId="0" applyFont="1" applyBorder="1" applyAlignment="1">
      <alignment horizontal="right"/>
    </xf>
    <xf numFmtId="174" fontId="13" fillId="0" borderId="10" xfId="0" applyNumberFormat="1" applyFont="1" applyBorder="1" applyAlignment="1">
      <alignment horizontal="right"/>
    </xf>
    <xf numFmtId="0" fontId="5" fillId="0" borderId="14" xfId="0" applyFont="1" applyBorder="1" applyAlignment="1"/>
    <xf numFmtId="43" fontId="5" fillId="0" borderId="10" xfId="0" applyNumberFormat="1" applyFont="1" applyBorder="1" applyAlignment="1"/>
    <xf numFmtId="0" fontId="5" fillId="0" borderId="15" xfId="0" applyFont="1" applyBorder="1" applyAlignment="1"/>
    <xf numFmtId="164" fontId="7" fillId="0" borderId="14" xfId="0" applyNumberFormat="1" applyFont="1" applyBorder="1" applyAlignment="1">
      <alignment horizontal="right"/>
    </xf>
    <xf numFmtId="0" fontId="1" fillId="0" borderId="22" xfId="0" applyFont="1" applyBorder="1"/>
    <xf numFmtId="0" fontId="8" fillId="7" borderId="24" xfId="0" applyFont="1" applyFill="1" applyBorder="1" applyAlignment="1">
      <alignment horizontal="right"/>
    </xf>
    <xf numFmtId="4" fontId="5" fillId="0" borderId="10" xfId="0" applyNumberFormat="1" applyFont="1" applyBorder="1" applyAlignment="1"/>
    <xf numFmtId="0" fontId="5" fillId="0" borderId="10" xfId="0" applyFont="1" applyBorder="1" applyAlignment="1"/>
    <xf numFmtId="4" fontId="5" fillId="3" borderId="10" xfId="0" applyNumberFormat="1" applyFont="1" applyFill="1" applyBorder="1" applyAlignment="1"/>
    <xf numFmtId="0" fontId="5" fillId="3" borderId="10" xfId="0" applyFont="1" applyFill="1" applyBorder="1" applyAlignment="1"/>
    <xf numFmtId="171" fontId="6" fillId="0" borderId="10" xfId="0" applyNumberFormat="1" applyFont="1" applyBorder="1" applyAlignment="1">
      <alignment horizontal="right"/>
    </xf>
    <xf numFmtId="4" fontId="5" fillId="8" borderId="10" xfId="0" applyNumberFormat="1" applyFont="1" applyFill="1" applyBorder="1" applyAlignment="1"/>
    <xf numFmtId="171" fontId="7" fillId="8" borderId="10" xfId="0" applyNumberFormat="1" applyFont="1" applyFill="1" applyBorder="1" applyAlignment="1">
      <alignment horizontal="right"/>
    </xf>
    <xf numFmtId="0" fontId="5" fillId="8" borderId="10" xfId="0" applyFont="1" applyFill="1" applyBorder="1" applyAlignment="1"/>
    <xf numFmtId="0" fontId="5" fillId="8" borderId="10" xfId="0" applyFont="1" applyFill="1" applyBorder="1" applyAlignment="1">
      <alignment horizontal="right"/>
    </xf>
    <xf numFmtId="4" fontId="5" fillId="6" borderId="10" xfId="0" applyNumberFormat="1" applyFont="1" applyFill="1" applyBorder="1" applyAlignment="1"/>
    <xf numFmtId="171" fontId="7" fillId="6" borderId="10" xfId="0" applyNumberFormat="1" applyFont="1" applyFill="1" applyBorder="1" applyAlignment="1">
      <alignment horizontal="right"/>
    </xf>
    <xf numFmtId="0" fontId="5" fillId="6" borderId="10" xfId="0" applyFont="1" applyFill="1" applyBorder="1" applyAlignment="1"/>
    <xf numFmtId="0" fontId="5" fillId="6" borderId="10" xfId="0" applyFont="1" applyFill="1" applyBorder="1" applyAlignment="1">
      <alignment horizontal="right"/>
    </xf>
    <xf numFmtId="0" fontId="5" fillId="11" borderId="10" xfId="0" applyFont="1" applyFill="1" applyBorder="1" applyAlignment="1"/>
    <xf numFmtId="176" fontId="7" fillId="11" borderId="10" xfId="0" applyNumberFormat="1" applyFont="1" applyFill="1" applyBorder="1" applyAlignment="1"/>
    <xf numFmtId="0" fontId="5" fillId="11" borderId="10" xfId="0" applyFont="1" applyFill="1" applyBorder="1" applyAlignment="1"/>
    <xf numFmtId="0" fontId="5" fillId="11" borderId="10" xfId="0" applyFont="1" applyFill="1" applyBorder="1" applyAlignment="1">
      <alignment horizontal="right"/>
    </xf>
    <xf numFmtId="0" fontId="6" fillId="11" borderId="25" xfId="0" applyFont="1" applyFill="1" applyBorder="1" applyAlignment="1">
      <alignment horizontal="right"/>
    </xf>
    <xf numFmtId="0" fontId="6" fillId="11" borderId="10" xfId="0" applyFont="1" applyFill="1" applyBorder="1" applyAlignment="1"/>
    <xf numFmtId="4" fontId="6" fillId="11" borderId="10" xfId="0" applyNumberFormat="1" applyFont="1" applyFill="1" applyBorder="1" applyAlignment="1"/>
    <xf numFmtId="164" fontId="7" fillId="11" borderId="10" xfId="0" applyNumberFormat="1" applyFont="1" applyFill="1" applyBorder="1" applyAlignment="1">
      <alignment horizontal="right"/>
    </xf>
    <xf numFmtId="177" fontId="6" fillId="11" borderId="10" xfId="0" applyNumberFormat="1" applyFont="1" applyFill="1" applyBorder="1" applyAlignment="1">
      <alignment horizontal="right"/>
    </xf>
    <xf numFmtId="177" fontId="7" fillId="11" borderId="10" xfId="0" applyNumberFormat="1" applyFont="1" applyFill="1" applyBorder="1" applyAlignment="1">
      <alignment horizontal="right"/>
    </xf>
    <xf numFmtId="0" fontId="6" fillId="11" borderId="10" xfId="0" applyFont="1" applyFill="1" applyBorder="1" applyAlignment="1">
      <alignment horizontal="right"/>
    </xf>
    <xf numFmtId="165" fontId="6" fillId="11" borderId="10" xfId="0" applyNumberFormat="1" applyFont="1" applyFill="1" applyBorder="1" applyAlignment="1">
      <alignment horizontal="right"/>
    </xf>
    <xf numFmtId="165" fontId="5" fillId="11" borderId="10" xfId="0" applyNumberFormat="1" applyFont="1" applyFill="1" applyBorder="1" applyAlignment="1"/>
    <xf numFmtId="3" fontId="5" fillId="11" borderId="10" xfId="0" applyNumberFormat="1" applyFont="1" applyFill="1" applyBorder="1" applyAlignment="1">
      <alignment horizontal="right"/>
    </xf>
    <xf numFmtId="0" fontId="5" fillId="9" borderId="10" xfId="0" applyFont="1" applyFill="1" applyBorder="1" applyAlignment="1"/>
    <xf numFmtId="0" fontId="8" fillId="0" borderId="10" xfId="0" applyFont="1" applyBorder="1" applyAlignment="1">
      <alignment horizontal="right"/>
    </xf>
    <xf numFmtId="0" fontId="8" fillId="4" borderId="10" xfId="0" applyFont="1" applyFill="1" applyBorder="1" applyAlignment="1">
      <alignment horizontal="right"/>
    </xf>
    <xf numFmtId="0" fontId="8" fillId="5" borderId="10" xfId="0" applyFont="1" applyFill="1" applyBorder="1" applyAlignment="1">
      <alignment horizontal="right"/>
    </xf>
    <xf numFmtId="0" fontId="8" fillId="7" borderId="10" xfId="0" applyFont="1" applyFill="1" applyBorder="1" applyAlignment="1">
      <alignment horizontal="right"/>
    </xf>
    <xf numFmtId="0" fontId="4" fillId="0" borderId="10" xfId="0" applyFont="1" applyBorder="1" applyAlignment="1">
      <alignment horizontal="right"/>
    </xf>
    <xf numFmtId="0" fontId="7" fillId="0" borderId="10" xfId="0" applyFont="1" applyBorder="1" applyAlignment="1">
      <alignment horizontal="right"/>
    </xf>
    <xf numFmtId="0" fontId="4" fillId="4" borderId="10" xfId="0" applyFont="1" applyFill="1" applyBorder="1" applyAlignment="1">
      <alignment horizontal="right"/>
    </xf>
    <xf numFmtId="0" fontId="4" fillId="7" borderId="10" xfId="0" applyFont="1" applyFill="1" applyBorder="1" applyAlignment="1">
      <alignment horizontal="right"/>
    </xf>
    <xf numFmtId="0" fontId="5" fillId="0" borderId="0" xfId="0" applyFont="1" applyBorder="1" applyAlignment="1"/>
    <xf numFmtId="0" fontId="5" fillId="0" borderId="26" xfId="0" applyFont="1" applyBorder="1" applyAlignment="1"/>
    <xf numFmtId="0" fontId="5" fillId="3" borderId="14" xfId="0" applyFont="1" applyFill="1" applyBorder="1" applyAlignment="1"/>
    <xf numFmtId="0" fontId="5" fillId="0" borderId="27" xfId="0" applyFont="1" applyBorder="1" applyAlignment="1"/>
    <xf numFmtId="0" fontId="6" fillId="3" borderId="14" xfId="0" applyFont="1" applyFill="1" applyBorder="1" applyAlignment="1"/>
    <xf numFmtId="0" fontId="6" fillId="0" borderId="27" xfId="0" applyFont="1" applyBorder="1" applyAlignment="1"/>
    <xf numFmtId="0" fontId="6" fillId="0" borderId="18" xfId="0" applyFont="1" applyBorder="1" applyAlignment="1">
      <alignment horizontal="left"/>
    </xf>
    <xf numFmtId="0" fontId="12" fillId="0" borderId="27" xfId="0" applyFont="1" applyBorder="1" applyAlignment="1"/>
    <xf numFmtId="43" fontId="6" fillId="3" borderId="14" xfId="0" applyNumberFormat="1" applyFont="1" applyFill="1" applyBorder="1" applyAlignment="1"/>
    <xf numFmtId="43" fontId="6" fillId="0" borderId="25" xfId="0" applyNumberFormat="1" applyFont="1" applyBorder="1" applyAlignment="1"/>
    <xf numFmtId="43" fontId="12" fillId="0" borderId="27" xfId="0" applyNumberFormat="1" applyFont="1" applyBorder="1" applyAlignment="1"/>
    <xf numFmtId="171" fontId="7" fillId="10" borderId="14" xfId="0" applyNumberFormat="1" applyFont="1" applyFill="1" applyBorder="1" applyAlignment="1">
      <alignment horizontal="right"/>
    </xf>
    <xf numFmtId="0" fontId="7" fillId="3" borderId="14" xfId="0" applyFont="1" applyFill="1" applyBorder="1" applyAlignment="1">
      <alignment horizontal="right"/>
    </xf>
    <xf numFmtId="0" fontId="7" fillId="0" borderId="18" xfId="0" applyFont="1" applyBorder="1" applyAlignment="1">
      <alignment horizontal="right"/>
    </xf>
    <xf numFmtId="164" fontId="13" fillId="0" borderId="27" xfId="0" applyNumberFormat="1" applyFont="1" applyBorder="1" applyAlignment="1">
      <alignment horizontal="right"/>
    </xf>
    <xf numFmtId="0" fontId="6" fillId="3" borderId="15" xfId="0" applyFont="1" applyFill="1" applyBorder="1" applyAlignment="1">
      <alignment horizontal="right"/>
    </xf>
    <xf numFmtId="0" fontId="7" fillId="0" borderId="15" xfId="0" applyFont="1" applyBorder="1" applyAlignment="1"/>
    <xf numFmtId="0" fontId="6" fillId="0" borderId="15" xfId="0" applyFont="1" applyBorder="1" applyAlignment="1">
      <alignment horizontal="right"/>
    </xf>
    <xf numFmtId="0" fontId="12" fillId="0" borderId="26" xfId="0" applyFont="1" applyBorder="1" applyAlignment="1"/>
    <xf numFmtId="0" fontId="12" fillId="0" borderId="27" xfId="0" applyFont="1" applyBorder="1" applyAlignment="1">
      <alignment horizontal="right"/>
    </xf>
    <xf numFmtId="0" fontId="5" fillId="3" borderId="15" xfId="0" applyFont="1" applyFill="1" applyBorder="1" applyAlignment="1"/>
    <xf numFmtId="0" fontId="0" fillId="0" borderId="12" xfId="0" applyFont="1" applyBorder="1" applyAlignment="1"/>
    <xf numFmtId="0" fontId="4" fillId="0" borderId="0" xfId="0" applyFont="1" applyBorder="1" applyAlignment="1">
      <alignment horizontal="right"/>
    </xf>
    <xf numFmtId="0" fontId="5" fillId="11" borderId="12" xfId="0" applyFont="1" applyFill="1" applyBorder="1" applyAlignment="1"/>
    <xf numFmtId="0" fontId="0" fillId="0" borderId="10" xfId="0" applyFont="1" applyBorder="1" applyAlignment="1"/>
    <xf numFmtId="0" fontId="8" fillId="0" borderId="0" xfId="0" applyFont="1" applyBorder="1" applyAlignment="1">
      <alignment horizontal="right"/>
    </xf>
    <xf numFmtId="0" fontId="8" fillId="5" borderId="21" xfId="0" applyFont="1" applyFill="1" applyBorder="1" applyAlignment="1">
      <alignment horizontal="right"/>
    </xf>
    <xf numFmtId="0" fontId="8" fillId="7" borderId="23" xfId="0" applyFont="1" applyFill="1" applyBorder="1" applyAlignment="1">
      <alignment horizontal="right"/>
    </xf>
    <xf numFmtId="0" fontId="8" fillId="5" borderId="0" xfId="0" applyFont="1" applyFill="1" applyBorder="1" applyAlignment="1">
      <alignment horizontal="right"/>
    </xf>
    <xf numFmtId="0" fontId="5" fillId="11" borderId="0" xfId="0" applyFont="1" applyFill="1" applyBorder="1" applyAlignment="1"/>
    <xf numFmtId="0" fontId="0" fillId="0" borderId="13" xfId="0" applyFont="1" applyBorder="1" applyAlignment="1"/>
    <xf numFmtId="0" fontId="5" fillId="11" borderId="13" xfId="0" applyFont="1" applyFill="1" applyBorder="1" applyAlignment="1"/>
    <xf numFmtId="0" fontId="0" fillId="0" borderId="25" xfId="0" applyFont="1" applyBorder="1" applyAlignment="1"/>
    <xf numFmtId="0" fontId="8" fillId="5" borderId="20" xfId="0" applyFont="1" applyFill="1" applyBorder="1" applyAlignment="1">
      <alignment horizontal="right"/>
    </xf>
    <xf numFmtId="0" fontId="6" fillId="11" borderId="13" xfId="0" applyFont="1" applyFill="1" applyBorder="1" applyAlignment="1">
      <alignment horizontal="right"/>
    </xf>
    <xf numFmtId="0" fontId="8" fillId="0" borderId="17" xfId="0" applyFont="1" applyBorder="1" applyAlignment="1">
      <alignment horizontal="right"/>
    </xf>
    <xf numFmtId="0" fontId="11" fillId="0" borderId="0" xfId="0" applyFont="1" applyBorder="1" applyAlignment="1">
      <alignment horizontal="right"/>
    </xf>
    <xf numFmtId="0" fontId="4" fillId="5" borderId="13" xfId="0" applyFont="1" applyFill="1" applyBorder="1" applyAlignment="1">
      <alignment horizontal="right"/>
    </xf>
    <xf numFmtId="0" fontId="4" fillId="4" borderId="0" xfId="0" applyFont="1" applyFill="1" applyBorder="1" applyAlignment="1">
      <alignment horizontal="right"/>
    </xf>
    <xf numFmtId="0" fontId="8" fillId="4" borderId="16" xfId="0" applyFont="1" applyFill="1" applyBorder="1" applyAlignment="1">
      <alignment horizontal="right"/>
    </xf>
    <xf numFmtId="176" fontId="5" fillId="11" borderId="0" xfId="0" applyNumberFormat="1" applyFont="1" applyFill="1" applyBorder="1" applyAlignment="1"/>
    <xf numFmtId="165" fontId="5" fillId="11" borderId="0" xfId="0" applyNumberFormat="1" applyFont="1" applyFill="1" applyBorder="1" applyAlignment="1"/>
    <xf numFmtId="164" fontId="5" fillId="11" borderId="0" xfId="0" applyNumberFormat="1" applyFont="1" applyFill="1" applyBorder="1" applyAlignment="1">
      <alignment horizontal="right"/>
    </xf>
    <xf numFmtId="0" fontId="0" fillId="0" borderId="15" xfId="0" applyFont="1" applyBorder="1" applyAlignment="1"/>
    <xf numFmtId="164" fontId="5" fillId="11" borderId="10" xfId="0" applyNumberFormat="1" applyFont="1" applyFill="1" applyBorder="1" applyAlignment="1">
      <alignment horizontal="right"/>
    </xf>
    <xf numFmtId="0" fontId="0" fillId="0" borderId="2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4"/>
  <sheetViews>
    <sheetView tabSelected="1" topLeftCell="A104" workbookViewId="0">
      <selection activeCell="B114" sqref="A1:R431"/>
    </sheetView>
  </sheetViews>
  <sheetFormatPr defaultColWidth="14.42578125" defaultRowHeight="15" customHeight="1"/>
  <cols>
    <col min="1" max="4" width="8.7109375" customWidth="1"/>
    <col min="5" max="5" width="20.140625" customWidth="1"/>
    <col min="6" max="6" width="19.7109375" customWidth="1"/>
    <col min="7" max="7" width="18.140625" customWidth="1"/>
    <col min="8" max="8" width="20.7109375" customWidth="1"/>
    <col min="9" max="9" width="18.5703125" customWidth="1"/>
    <col min="10" max="10" width="17.7109375" customWidth="1"/>
    <col min="11" max="11" width="20" customWidth="1"/>
    <col min="12" max="12" width="8.7109375" customWidth="1"/>
    <col min="13" max="13" width="16.85546875" customWidth="1"/>
    <col min="14" max="37" width="8.7109375" customWidth="1"/>
  </cols>
  <sheetData>
    <row r="1" spans="1:37" ht="30" customHeight="1">
      <c r="A1" s="2" t="s">
        <v>13</v>
      </c>
      <c r="B1" s="3" t="s">
        <v>14</v>
      </c>
      <c r="C1" s="4" t="s">
        <v>1</v>
      </c>
      <c r="D1" s="3" t="s">
        <v>2</v>
      </c>
      <c r="E1" s="3" t="s">
        <v>15</v>
      </c>
      <c r="F1" s="3" t="s">
        <v>16</v>
      </c>
      <c r="G1" s="4" t="s">
        <v>4</v>
      </c>
      <c r="H1" s="5" t="s">
        <v>17</v>
      </c>
      <c r="I1" s="6" t="s">
        <v>0</v>
      </c>
      <c r="J1" s="4" t="s">
        <v>18</v>
      </c>
      <c r="K1" s="4" t="s">
        <v>3</v>
      </c>
      <c r="L1" s="4" t="s">
        <v>19</v>
      </c>
      <c r="M1" s="4" t="s">
        <v>20</v>
      </c>
      <c r="N1" s="4" t="s">
        <v>21</v>
      </c>
      <c r="O1" s="4" t="s">
        <v>22</v>
      </c>
      <c r="P1" s="6" t="s">
        <v>23</v>
      </c>
      <c r="Q1" s="7" t="s">
        <v>24</v>
      </c>
      <c r="R1" s="8"/>
      <c r="S1" s="9"/>
      <c r="T1" s="9"/>
      <c r="U1" s="8"/>
      <c r="V1" s="8"/>
      <c r="W1" s="10"/>
      <c r="X1" s="11"/>
      <c r="Y1" s="12"/>
      <c r="Z1" s="8"/>
      <c r="AA1" s="8"/>
      <c r="AB1" s="8"/>
      <c r="AC1" s="8"/>
      <c r="AD1" s="8"/>
      <c r="AE1" s="8"/>
      <c r="AF1" s="8"/>
      <c r="AG1" s="8"/>
      <c r="AH1" s="8"/>
      <c r="AI1" s="8"/>
      <c r="AJ1" s="8"/>
      <c r="AK1" s="8"/>
    </row>
    <row r="2" spans="1:37">
      <c r="A2" s="128" t="s">
        <v>25</v>
      </c>
      <c r="B2" s="128" t="s">
        <v>26</v>
      </c>
      <c r="C2" s="128" t="s">
        <v>5</v>
      </c>
      <c r="D2" s="128" t="s">
        <v>6</v>
      </c>
      <c r="E2" s="128" t="s">
        <v>644</v>
      </c>
      <c r="F2" s="128" t="s">
        <v>541</v>
      </c>
      <c r="G2" s="126">
        <v>150000</v>
      </c>
      <c r="H2" s="127">
        <v>45924</v>
      </c>
      <c r="I2" s="19" t="str">
        <f>IF(N2&gt;1,"group","individual")</f>
        <v>group</v>
      </c>
      <c r="J2" s="128"/>
      <c r="K2" s="129">
        <v>2</v>
      </c>
      <c r="L2" s="128"/>
      <c r="M2" s="128"/>
      <c r="N2" s="19">
        <f>SUM(J2:K2)</f>
        <v>2</v>
      </c>
      <c r="O2" s="19">
        <f>SUM(L2:M2)</f>
        <v>0</v>
      </c>
      <c r="P2" s="174"/>
      <c r="Q2" s="183"/>
    </row>
    <row r="3" spans="1:37">
      <c r="A3" s="128" t="s">
        <v>25</v>
      </c>
      <c r="B3" s="128" t="s">
        <v>26</v>
      </c>
      <c r="C3" s="128" t="s">
        <v>5</v>
      </c>
      <c r="D3" s="128" t="s">
        <v>6</v>
      </c>
      <c r="E3" s="128" t="s">
        <v>645</v>
      </c>
      <c r="F3" s="128" t="s">
        <v>541</v>
      </c>
      <c r="G3" s="126">
        <v>150000</v>
      </c>
      <c r="H3" s="127">
        <v>45924</v>
      </c>
      <c r="I3" s="19" t="str">
        <f>IF(N3&gt;1,"group","individual")</f>
        <v>group</v>
      </c>
      <c r="J3" s="128"/>
      <c r="K3" s="129">
        <v>2</v>
      </c>
      <c r="L3" s="128"/>
      <c r="M3" s="128"/>
      <c r="N3" s="19">
        <f>SUM(J3:K3)</f>
        <v>2</v>
      </c>
      <c r="O3" s="19">
        <f>SUM(L3:M3)</f>
        <v>0</v>
      </c>
      <c r="P3" s="174"/>
      <c r="Q3" s="183"/>
    </row>
    <row r="4" spans="1:37">
      <c r="A4" s="128" t="s">
        <v>25</v>
      </c>
      <c r="B4" s="128" t="s">
        <v>26</v>
      </c>
      <c r="C4" s="128" t="s">
        <v>5</v>
      </c>
      <c r="D4" s="128" t="s">
        <v>6</v>
      </c>
      <c r="E4" s="128" t="s">
        <v>646</v>
      </c>
      <c r="F4" s="128" t="s">
        <v>186</v>
      </c>
      <c r="G4" s="126">
        <v>150000</v>
      </c>
      <c r="H4" s="127">
        <v>45924</v>
      </c>
      <c r="I4" s="19" t="str">
        <f>IF(N4&gt;1,"group","individual")</f>
        <v>group</v>
      </c>
      <c r="J4" s="128"/>
      <c r="K4" s="129">
        <v>2</v>
      </c>
      <c r="L4" s="128"/>
      <c r="M4" s="128"/>
      <c r="N4" s="19">
        <f>SUM(J4:K4)</f>
        <v>2</v>
      </c>
      <c r="O4" s="19">
        <f>SUM(L4:M4)</f>
        <v>0</v>
      </c>
      <c r="P4" s="176" t="s">
        <v>647</v>
      </c>
      <c r="Q4" s="184"/>
      <c r="R4" s="193">
        <v>45959</v>
      </c>
    </row>
    <row r="5" spans="1:37">
      <c r="A5" s="132" t="s">
        <v>25</v>
      </c>
      <c r="B5" s="132" t="s">
        <v>26</v>
      </c>
      <c r="C5" s="132" t="s">
        <v>5</v>
      </c>
      <c r="D5" s="132" t="s">
        <v>6</v>
      </c>
      <c r="E5" s="132" t="s">
        <v>648</v>
      </c>
      <c r="F5" s="132" t="s">
        <v>294</v>
      </c>
      <c r="G5" s="143">
        <v>150000</v>
      </c>
      <c r="H5" s="131">
        <v>45930</v>
      </c>
      <c r="I5" s="19" t="str">
        <f>IF(N5&gt;1,"group","individual")</f>
        <v>group</v>
      </c>
      <c r="J5" s="132"/>
      <c r="K5" s="133">
        <v>2</v>
      </c>
      <c r="L5" s="132"/>
      <c r="M5" s="132"/>
      <c r="N5" s="19">
        <f>SUM(J5:K5)</f>
        <v>2</v>
      </c>
      <c r="O5" s="19">
        <f>SUM(L5:M5)</f>
        <v>0</v>
      </c>
      <c r="P5" s="176" t="s">
        <v>647</v>
      </c>
      <c r="Q5" s="184"/>
      <c r="R5" s="193">
        <v>45959</v>
      </c>
    </row>
    <row r="6" spans="1:37">
      <c r="A6" s="132" t="s">
        <v>25</v>
      </c>
      <c r="B6" s="132" t="s">
        <v>26</v>
      </c>
      <c r="C6" s="132" t="s">
        <v>5</v>
      </c>
      <c r="D6" s="132" t="s">
        <v>6</v>
      </c>
      <c r="E6" s="132" t="s">
        <v>649</v>
      </c>
      <c r="F6" s="132" t="s">
        <v>650</v>
      </c>
      <c r="G6" s="143">
        <v>150000</v>
      </c>
      <c r="H6" s="131">
        <v>45930</v>
      </c>
      <c r="I6" s="19" t="str">
        <f>IF(N6&gt;1,"group","individual")</f>
        <v>group</v>
      </c>
      <c r="J6" s="132"/>
      <c r="K6" s="133">
        <v>2</v>
      </c>
      <c r="L6" s="132"/>
      <c r="M6" s="132"/>
      <c r="N6" s="19">
        <f>SUM(J6:K6)</f>
        <v>2</v>
      </c>
      <c r="O6" s="19">
        <f>SUM(L6:M6)</f>
        <v>0</v>
      </c>
      <c r="P6" s="176" t="s">
        <v>647</v>
      </c>
      <c r="Q6" s="184"/>
      <c r="R6" s="193">
        <v>45959</v>
      </c>
    </row>
    <row r="7" spans="1:37">
      <c r="A7" s="132" t="s">
        <v>25</v>
      </c>
      <c r="B7" s="132" t="s">
        <v>26</v>
      </c>
      <c r="C7" s="132" t="s">
        <v>5</v>
      </c>
      <c r="D7" s="132" t="s">
        <v>6</v>
      </c>
      <c r="E7" s="132" t="s">
        <v>651</v>
      </c>
      <c r="F7" s="132" t="s">
        <v>650</v>
      </c>
      <c r="G7" s="133">
        <v>150000</v>
      </c>
      <c r="H7" s="131">
        <v>45930</v>
      </c>
      <c r="I7" s="19" t="str">
        <f>IF(N7&gt;1,"group","individual")</f>
        <v>group</v>
      </c>
      <c r="J7" s="132"/>
      <c r="K7" s="133">
        <v>2</v>
      </c>
      <c r="L7" s="132"/>
      <c r="M7" s="132"/>
      <c r="N7" s="19">
        <f>SUM(J7:K7)</f>
        <v>2</v>
      </c>
      <c r="O7" s="19">
        <f>SUM(L7:M7)</f>
        <v>0</v>
      </c>
      <c r="P7" s="176" t="s">
        <v>647</v>
      </c>
      <c r="Q7" s="184"/>
      <c r="R7" s="193">
        <v>45959</v>
      </c>
    </row>
    <row r="8" spans="1:37">
      <c r="A8" s="132" t="s">
        <v>25</v>
      </c>
      <c r="B8" s="132" t="s">
        <v>26</v>
      </c>
      <c r="C8" s="132" t="s">
        <v>5</v>
      </c>
      <c r="D8" s="132" t="s">
        <v>6</v>
      </c>
      <c r="E8" s="132" t="s">
        <v>652</v>
      </c>
      <c r="F8" s="132" t="s">
        <v>294</v>
      </c>
      <c r="G8" s="143">
        <v>150000</v>
      </c>
      <c r="H8" s="131">
        <v>45930</v>
      </c>
      <c r="I8" s="19" t="str">
        <f>IF(N8&gt;1,"group","individual")</f>
        <v>group</v>
      </c>
      <c r="J8" s="132"/>
      <c r="K8" s="133">
        <v>2</v>
      </c>
      <c r="L8" s="132"/>
      <c r="M8" s="132"/>
      <c r="N8" s="19">
        <f>SUM(J8:K8)</f>
        <v>2</v>
      </c>
      <c r="O8" s="19">
        <f>SUM(L8:M8)</f>
        <v>0</v>
      </c>
      <c r="P8" s="176" t="s">
        <v>647</v>
      </c>
      <c r="Q8" s="184"/>
      <c r="R8" s="193">
        <v>45959</v>
      </c>
    </row>
    <row r="9" spans="1:37">
      <c r="A9" s="132" t="s">
        <v>25</v>
      </c>
      <c r="B9" s="132" t="s">
        <v>26</v>
      </c>
      <c r="C9" s="132" t="s">
        <v>5</v>
      </c>
      <c r="D9" s="132" t="s">
        <v>6</v>
      </c>
      <c r="E9" s="132" t="s">
        <v>653</v>
      </c>
      <c r="F9" s="132" t="s">
        <v>654</v>
      </c>
      <c r="G9" s="143">
        <v>150000</v>
      </c>
      <c r="H9" s="131">
        <v>45930</v>
      </c>
      <c r="I9" s="19" t="str">
        <f>IF(N9&gt;1,"group","individual")</f>
        <v>group</v>
      </c>
      <c r="J9" s="132"/>
      <c r="K9" s="133">
        <v>2</v>
      </c>
      <c r="L9" s="132"/>
      <c r="M9" s="132"/>
      <c r="N9" s="19">
        <f>SUM(J9:K9)</f>
        <v>2</v>
      </c>
      <c r="O9" s="19">
        <f>SUM(L9:M9)</f>
        <v>0</v>
      </c>
      <c r="P9" s="176" t="s">
        <v>647</v>
      </c>
      <c r="Q9" s="184"/>
      <c r="R9" s="193">
        <v>45959</v>
      </c>
    </row>
    <row r="10" spans="1:37">
      <c r="A10" s="132" t="s">
        <v>25</v>
      </c>
      <c r="B10" s="132" t="s">
        <v>26</v>
      </c>
      <c r="C10" s="132" t="s">
        <v>5</v>
      </c>
      <c r="D10" s="132" t="s">
        <v>6</v>
      </c>
      <c r="E10" s="132" t="s">
        <v>655</v>
      </c>
      <c r="F10" s="132" t="s">
        <v>656</v>
      </c>
      <c r="G10" s="143">
        <v>150000</v>
      </c>
      <c r="H10" s="131">
        <v>45930</v>
      </c>
      <c r="I10" s="19" t="str">
        <f>IF(N10&gt;1,"group","individual")</f>
        <v>group</v>
      </c>
      <c r="J10" s="132"/>
      <c r="K10" s="133">
        <v>2</v>
      </c>
      <c r="L10" s="132"/>
      <c r="M10" s="132"/>
      <c r="N10" s="19">
        <f>SUM(J10:K10)</f>
        <v>2</v>
      </c>
      <c r="O10" s="19">
        <f>SUM(L10:M10)</f>
        <v>0</v>
      </c>
      <c r="P10" s="176" t="s">
        <v>647</v>
      </c>
      <c r="Q10" s="184"/>
      <c r="R10" s="193">
        <v>45959</v>
      </c>
    </row>
    <row r="11" spans="1:37">
      <c r="A11" s="132" t="s">
        <v>25</v>
      </c>
      <c r="B11" s="132" t="s">
        <v>26</v>
      </c>
      <c r="C11" s="132" t="s">
        <v>5</v>
      </c>
      <c r="D11" s="132" t="s">
        <v>6</v>
      </c>
      <c r="E11" s="132" t="s">
        <v>657</v>
      </c>
      <c r="F11" s="132" t="s">
        <v>457</v>
      </c>
      <c r="G11" s="143">
        <v>150000</v>
      </c>
      <c r="H11" s="131">
        <v>45930</v>
      </c>
      <c r="I11" s="19" t="str">
        <f>IF(N11&gt;1,"group","individual")</f>
        <v>group</v>
      </c>
      <c r="J11" s="132"/>
      <c r="K11" s="133">
        <v>2</v>
      </c>
      <c r="L11" s="132"/>
      <c r="M11" s="132"/>
      <c r="N11" s="19">
        <f>SUM(J11:K11)</f>
        <v>2</v>
      </c>
      <c r="O11" s="19">
        <f>SUM(L11:M11)</f>
        <v>0</v>
      </c>
      <c r="P11" s="176" t="s">
        <v>647</v>
      </c>
      <c r="Q11" s="184"/>
      <c r="R11" s="193">
        <v>45959</v>
      </c>
    </row>
    <row r="12" spans="1:37">
      <c r="A12" s="132" t="s">
        <v>25</v>
      </c>
      <c r="B12" s="132" t="s">
        <v>26</v>
      </c>
      <c r="C12" s="132" t="s">
        <v>5</v>
      </c>
      <c r="D12" s="132" t="s">
        <v>6</v>
      </c>
      <c r="E12" s="132" t="s">
        <v>658</v>
      </c>
      <c r="F12" s="132" t="s">
        <v>656</v>
      </c>
      <c r="G12" s="143">
        <v>150000</v>
      </c>
      <c r="H12" s="131">
        <v>45930</v>
      </c>
      <c r="I12" s="19" t="str">
        <f>IF(N12&gt;1,"group","individual")</f>
        <v>group</v>
      </c>
      <c r="J12" s="132"/>
      <c r="K12" s="133">
        <v>2</v>
      </c>
      <c r="L12" s="132"/>
      <c r="M12" s="132"/>
      <c r="N12" s="19">
        <f>SUM(J12:K12)</f>
        <v>2</v>
      </c>
      <c r="O12" s="19">
        <f>SUM(L12:M12)</f>
        <v>0</v>
      </c>
      <c r="P12" s="176" t="s">
        <v>647</v>
      </c>
      <c r="Q12" s="184"/>
      <c r="R12" s="193">
        <v>45959</v>
      </c>
    </row>
    <row r="13" spans="1:37">
      <c r="A13" s="132" t="s">
        <v>25</v>
      </c>
      <c r="B13" s="132" t="s">
        <v>26</v>
      </c>
      <c r="C13" s="132" t="s">
        <v>5</v>
      </c>
      <c r="D13" s="132" t="s">
        <v>6</v>
      </c>
      <c r="E13" s="132" t="s">
        <v>659</v>
      </c>
      <c r="F13" s="132" t="s">
        <v>660</v>
      </c>
      <c r="G13" s="143">
        <v>150000</v>
      </c>
      <c r="H13" s="131">
        <v>45930</v>
      </c>
      <c r="I13" s="19" t="str">
        <f>IF(N13&gt;1,"group","individual")</f>
        <v>group</v>
      </c>
      <c r="J13" s="132"/>
      <c r="K13" s="133">
        <v>2</v>
      </c>
      <c r="L13" s="132"/>
      <c r="M13" s="132"/>
      <c r="N13" s="19">
        <f>SUM(J13:K13)</f>
        <v>2</v>
      </c>
      <c r="O13" s="19">
        <f>SUM(L13:M13)</f>
        <v>0</v>
      </c>
      <c r="P13" s="176" t="s">
        <v>647</v>
      </c>
      <c r="Q13" s="184"/>
      <c r="R13" s="193">
        <v>45959</v>
      </c>
    </row>
    <row r="14" spans="1:37">
      <c r="A14" s="132" t="s">
        <v>25</v>
      </c>
      <c r="B14" s="132" t="s">
        <v>26</v>
      </c>
      <c r="C14" s="132" t="s">
        <v>5</v>
      </c>
      <c r="D14" s="132" t="s">
        <v>6</v>
      </c>
      <c r="E14" s="132" t="s">
        <v>661</v>
      </c>
      <c r="F14" s="132" t="s">
        <v>641</v>
      </c>
      <c r="G14" s="143">
        <v>150000</v>
      </c>
      <c r="H14" s="131">
        <v>45930</v>
      </c>
      <c r="I14" s="19" t="str">
        <f>IF(N14&gt;1,"group","individual")</f>
        <v>group</v>
      </c>
      <c r="J14" s="132"/>
      <c r="K14" s="133">
        <v>2</v>
      </c>
      <c r="L14" s="132"/>
      <c r="M14" s="132"/>
      <c r="N14" s="19">
        <f>SUM(J14:K14)</f>
        <v>2</v>
      </c>
      <c r="O14" s="19">
        <f>SUM(L14:M14)</f>
        <v>0</v>
      </c>
      <c r="P14" s="176" t="s">
        <v>647</v>
      </c>
      <c r="Q14" s="184"/>
      <c r="R14" s="193">
        <v>45959</v>
      </c>
    </row>
    <row r="15" spans="1:37">
      <c r="A15" s="132" t="s">
        <v>25</v>
      </c>
      <c r="B15" s="132" t="s">
        <v>26</v>
      </c>
      <c r="C15" s="132" t="s">
        <v>5</v>
      </c>
      <c r="D15" s="132" t="s">
        <v>6</v>
      </c>
      <c r="E15" s="132" t="s">
        <v>662</v>
      </c>
      <c r="F15" s="132" t="s">
        <v>663</v>
      </c>
      <c r="G15" s="143">
        <v>150000</v>
      </c>
      <c r="H15" s="131">
        <v>45930</v>
      </c>
      <c r="I15" s="19" t="str">
        <f>IF(N15&gt;1,"group","individual")</f>
        <v>group</v>
      </c>
      <c r="J15" s="132"/>
      <c r="K15" s="133">
        <v>2</v>
      </c>
      <c r="L15" s="132"/>
      <c r="M15" s="132"/>
      <c r="N15" s="19">
        <f>SUM(J15:K15)</f>
        <v>2</v>
      </c>
      <c r="O15" s="19">
        <f>SUM(L15:M15)</f>
        <v>0</v>
      </c>
      <c r="P15" s="176" t="s">
        <v>647</v>
      </c>
      <c r="Q15" s="184"/>
      <c r="R15" s="193">
        <v>45959</v>
      </c>
    </row>
    <row r="16" spans="1:37">
      <c r="A16" s="132" t="s">
        <v>25</v>
      </c>
      <c r="B16" s="132" t="s">
        <v>26</v>
      </c>
      <c r="C16" s="132" t="s">
        <v>5</v>
      </c>
      <c r="D16" s="132" t="s">
        <v>6</v>
      </c>
      <c r="E16" s="132" t="s">
        <v>664</v>
      </c>
      <c r="F16" s="132" t="s">
        <v>663</v>
      </c>
      <c r="G16" s="143">
        <v>150000</v>
      </c>
      <c r="H16" s="131">
        <v>45930</v>
      </c>
      <c r="I16" s="19" t="str">
        <f>IF(N16&gt;1,"group","individual")</f>
        <v>group</v>
      </c>
      <c r="J16" s="132"/>
      <c r="K16" s="133">
        <v>2</v>
      </c>
      <c r="L16" s="132"/>
      <c r="M16" s="132"/>
      <c r="N16" s="19">
        <f>SUM(J16:K16)</f>
        <v>2</v>
      </c>
      <c r="O16" s="19">
        <f>SUM(L16:M16)</f>
        <v>0</v>
      </c>
      <c r="P16" s="176" t="s">
        <v>647</v>
      </c>
      <c r="Q16" s="184"/>
      <c r="R16" s="193">
        <v>45959</v>
      </c>
    </row>
    <row r="17" spans="1:18">
      <c r="A17" s="132" t="s">
        <v>25</v>
      </c>
      <c r="B17" s="132" t="s">
        <v>26</v>
      </c>
      <c r="C17" s="132" t="s">
        <v>5</v>
      </c>
      <c r="D17" s="132" t="s">
        <v>6</v>
      </c>
      <c r="E17" s="132" t="s">
        <v>665</v>
      </c>
      <c r="F17" s="132" t="s">
        <v>663</v>
      </c>
      <c r="G17" s="143">
        <v>150000</v>
      </c>
      <c r="H17" s="131">
        <v>45930</v>
      </c>
      <c r="I17" s="19" t="str">
        <f>IF(N17&gt;1,"group","individual")</f>
        <v>group</v>
      </c>
      <c r="J17" s="132"/>
      <c r="K17" s="133">
        <v>2</v>
      </c>
      <c r="L17" s="132"/>
      <c r="M17" s="132"/>
      <c r="N17" s="19">
        <f>SUM(J17:K17)</f>
        <v>2</v>
      </c>
      <c r="O17" s="19">
        <f>SUM(L17:M17)</f>
        <v>0</v>
      </c>
      <c r="P17" s="176" t="s">
        <v>647</v>
      </c>
      <c r="Q17" s="184"/>
      <c r="R17" s="193">
        <v>45959</v>
      </c>
    </row>
    <row r="18" spans="1:18">
      <c r="A18" s="132" t="s">
        <v>25</v>
      </c>
      <c r="B18" s="132" t="s">
        <v>26</v>
      </c>
      <c r="C18" s="132" t="s">
        <v>5</v>
      </c>
      <c r="D18" s="132" t="s">
        <v>6</v>
      </c>
      <c r="E18" s="132" t="s">
        <v>666</v>
      </c>
      <c r="F18" s="132" t="s">
        <v>663</v>
      </c>
      <c r="G18" s="143">
        <v>150000</v>
      </c>
      <c r="H18" s="131">
        <v>45930</v>
      </c>
      <c r="I18" s="19" t="str">
        <f>IF(N18&gt;1,"group","individual")</f>
        <v>group</v>
      </c>
      <c r="J18" s="132"/>
      <c r="K18" s="133">
        <v>2</v>
      </c>
      <c r="L18" s="132"/>
      <c r="M18" s="132"/>
      <c r="N18" s="19">
        <f>SUM(J18:K18)</f>
        <v>2</v>
      </c>
      <c r="O18" s="19">
        <f>SUM(L18:M18)</f>
        <v>0</v>
      </c>
      <c r="P18" s="176" t="s">
        <v>647</v>
      </c>
      <c r="Q18" s="184"/>
      <c r="R18" s="193">
        <v>45959</v>
      </c>
    </row>
    <row r="19" spans="1:18">
      <c r="A19" s="132" t="s">
        <v>25</v>
      </c>
      <c r="B19" s="132" t="s">
        <v>26</v>
      </c>
      <c r="C19" s="132" t="s">
        <v>5</v>
      </c>
      <c r="D19" s="132" t="s">
        <v>6</v>
      </c>
      <c r="E19" s="132" t="s">
        <v>667</v>
      </c>
      <c r="F19" s="132" t="s">
        <v>663</v>
      </c>
      <c r="G19" s="143">
        <v>150000</v>
      </c>
      <c r="H19" s="131">
        <v>45930</v>
      </c>
      <c r="I19" s="19" t="str">
        <f>IF(N19&gt;1,"group","individual")</f>
        <v>group</v>
      </c>
      <c r="J19" s="132"/>
      <c r="K19" s="133">
        <v>2</v>
      </c>
      <c r="L19" s="132"/>
      <c r="M19" s="132"/>
      <c r="N19" s="19">
        <f>SUM(J19:K19)</f>
        <v>2</v>
      </c>
      <c r="O19" s="19">
        <f>SUM(L19:M19)</f>
        <v>0</v>
      </c>
      <c r="P19" s="176" t="s">
        <v>647</v>
      </c>
      <c r="Q19" s="184"/>
      <c r="R19" s="193">
        <v>45959</v>
      </c>
    </row>
    <row r="20" spans="1:18">
      <c r="A20" s="132" t="s">
        <v>25</v>
      </c>
      <c r="B20" s="132" t="s">
        <v>26</v>
      </c>
      <c r="C20" s="132" t="s">
        <v>5</v>
      </c>
      <c r="D20" s="132" t="s">
        <v>6</v>
      </c>
      <c r="E20" s="132" t="s">
        <v>668</v>
      </c>
      <c r="F20" s="132" t="s">
        <v>663</v>
      </c>
      <c r="G20" s="143">
        <v>150000</v>
      </c>
      <c r="H20" s="131">
        <v>45930</v>
      </c>
      <c r="I20" s="19" t="str">
        <f>IF(N20&gt;1,"group","individual")</f>
        <v>group</v>
      </c>
      <c r="J20" s="132"/>
      <c r="K20" s="133">
        <v>2</v>
      </c>
      <c r="L20" s="132"/>
      <c r="M20" s="132"/>
      <c r="N20" s="19">
        <f>SUM(J20:K20)</f>
        <v>2</v>
      </c>
      <c r="O20" s="19">
        <f>SUM(L20:M20)</f>
        <v>0</v>
      </c>
      <c r="P20" s="176" t="s">
        <v>647</v>
      </c>
      <c r="Q20" s="184"/>
      <c r="R20" s="193">
        <v>45959</v>
      </c>
    </row>
    <row r="21" spans="1:18" ht="15.75" customHeight="1">
      <c r="A21" s="132" t="s">
        <v>25</v>
      </c>
      <c r="B21" s="132" t="s">
        <v>26</v>
      </c>
      <c r="C21" s="132" t="s">
        <v>5</v>
      </c>
      <c r="D21" s="132" t="s">
        <v>6</v>
      </c>
      <c r="E21" s="132" t="s">
        <v>669</v>
      </c>
      <c r="F21" s="132" t="s">
        <v>663</v>
      </c>
      <c r="G21" s="143">
        <v>225000</v>
      </c>
      <c r="H21" s="131">
        <v>45930</v>
      </c>
      <c r="I21" s="19" t="str">
        <f>IF(N21&gt;1,"group","individual")</f>
        <v>group</v>
      </c>
      <c r="J21" s="132"/>
      <c r="K21" s="133">
        <v>3</v>
      </c>
      <c r="L21" s="132"/>
      <c r="M21" s="132"/>
      <c r="N21" s="19">
        <f>SUM(J21:K21)</f>
        <v>3</v>
      </c>
      <c r="O21" s="19">
        <f>SUM(L21:M21)</f>
        <v>0</v>
      </c>
      <c r="P21" s="176" t="s">
        <v>647</v>
      </c>
      <c r="Q21" s="184"/>
      <c r="R21" s="193">
        <v>45959</v>
      </c>
    </row>
    <row r="22" spans="1:18" ht="15.75" customHeight="1">
      <c r="A22" s="132" t="s">
        <v>25</v>
      </c>
      <c r="B22" s="132" t="s">
        <v>26</v>
      </c>
      <c r="C22" s="132" t="s">
        <v>5</v>
      </c>
      <c r="D22" s="132" t="s">
        <v>6</v>
      </c>
      <c r="E22" s="132" t="s">
        <v>670</v>
      </c>
      <c r="F22" s="132" t="s">
        <v>663</v>
      </c>
      <c r="G22" s="143">
        <v>150000</v>
      </c>
      <c r="H22" s="131">
        <v>45930</v>
      </c>
      <c r="I22" s="19" t="str">
        <f>IF(N22&gt;1,"group","individual")</f>
        <v>group</v>
      </c>
      <c r="J22" s="132"/>
      <c r="K22" s="133">
        <v>2</v>
      </c>
      <c r="L22" s="132"/>
      <c r="M22" s="132"/>
      <c r="N22" s="19">
        <f>SUM(J22:K22)</f>
        <v>2</v>
      </c>
      <c r="O22" s="19">
        <f>SUM(L22:M22)</f>
        <v>0</v>
      </c>
      <c r="P22" s="176" t="s">
        <v>647</v>
      </c>
      <c r="Q22" s="184"/>
      <c r="R22" s="193">
        <v>45959</v>
      </c>
    </row>
    <row r="23" spans="1:18" ht="15.75" customHeight="1">
      <c r="A23" s="132" t="s">
        <v>25</v>
      </c>
      <c r="B23" s="132" t="s">
        <v>26</v>
      </c>
      <c r="C23" s="132" t="s">
        <v>5</v>
      </c>
      <c r="D23" s="132" t="s">
        <v>6</v>
      </c>
      <c r="E23" s="132" t="s">
        <v>671</v>
      </c>
      <c r="F23" s="132" t="s">
        <v>663</v>
      </c>
      <c r="G23" s="143">
        <v>150000</v>
      </c>
      <c r="H23" s="131">
        <v>45930</v>
      </c>
      <c r="I23" s="19" t="str">
        <f>IF(N23&gt;1,"group","individual")</f>
        <v>group</v>
      </c>
      <c r="J23" s="132"/>
      <c r="K23" s="133">
        <v>2</v>
      </c>
      <c r="L23" s="132"/>
      <c r="M23" s="132"/>
      <c r="N23" s="19">
        <f>SUM(J23:K23)</f>
        <v>2</v>
      </c>
      <c r="O23" s="19">
        <f>SUM(L23:M23)</f>
        <v>0</v>
      </c>
      <c r="P23" s="176" t="s">
        <v>647</v>
      </c>
      <c r="Q23" s="184"/>
      <c r="R23" s="193">
        <v>45959</v>
      </c>
    </row>
    <row r="24" spans="1:18" ht="15.75" customHeight="1">
      <c r="A24" s="132" t="s">
        <v>25</v>
      </c>
      <c r="B24" s="132" t="s">
        <v>26</v>
      </c>
      <c r="C24" s="132" t="s">
        <v>5</v>
      </c>
      <c r="D24" s="132" t="s">
        <v>6</v>
      </c>
      <c r="E24" s="132" t="s">
        <v>672</v>
      </c>
      <c r="F24" s="132" t="s">
        <v>663</v>
      </c>
      <c r="G24" s="143">
        <v>150000</v>
      </c>
      <c r="H24" s="131">
        <v>45930</v>
      </c>
      <c r="I24" s="19" t="str">
        <f>IF(N24&gt;1,"group","individual")</f>
        <v>group</v>
      </c>
      <c r="J24" s="132"/>
      <c r="K24" s="133">
        <v>2</v>
      </c>
      <c r="L24" s="132"/>
      <c r="M24" s="132"/>
      <c r="N24" s="19">
        <f>SUM(J24:K24)</f>
        <v>2</v>
      </c>
      <c r="O24" s="19">
        <f>SUM(L24:M24)</f>
        <v>0</v>
      </c>
      <c r="P24" s="176" t="s">
        <v>647</v>
      </c>
      <c r="Q24" s="184"/>
      <c r="R24" s="193">
        <v>45959</v>
      </c>
    </row>
    <row r="25" spans="1:18" ht="15.75" customHeight="1">
      <c r="A25" s="132" t="s">
        <v>25</v>
      </c>
      <c r="B25" s="132" t="s">
        <v>26</v>
      </c>
      <c r="C25" s="132" t="s">
        <v>5</v>
      </c>
      <c r="D25" s="132" t="s">
        <v>6</v>
      </c>
      <c r="E25" s="132" t="s">
        <v>673</v>
      </c>
      <c r="F25" s="132" t="s">
        <v>544</v>
      </c>
      <c r="G25" s="143">
        <v>150000</v>
      </c>
      <c r="H25" s="131">
        <v>45930</v>
      </c>
      <c r="I25" s="19" t="str">
        <f>IF(N25&gt;1,"group","individual")</f>
        <v>group</v>
      </c>
      <c r="J25" s="132"/>
      <c r="K25" s="133">
        <v>2</v>
      </c>
      <c r="L25" s="132"/>
      <c r="M25" s="132"/>
      <c r="N25" s="19">
        <f>SUM(J25:K25)</f>
        <v>2</v>
      </c>
      <c r="O25" s="19">
        <f>SUM(L25:M25)</f>
        <v>0</v>
      </c>
      <c r="P25" s="176" t="s">
        <v>647</v>
      </c>
      <c r="Q25" s="184"/>
      <c r="R25" s="193">
        <v>45959</v>
      </c>
    </row>
    <row r="26" spans="1:18" ht="15.75" customHeight="1">
      <c r="A26" s="132" t="s">
        <v>25</v>
      </c>
      <c r="B26" s="132" t="s">
        <v>26</v>
      </c>
      <c r="C26" s="132" t="s">
        <v>5</v>
      </c>
      <c r="D26" s="132" t="s">
        <v>6</v>
      </c>
      <c r="E26" s="132" t="s">
        <v>674</v>
      </c>
      <c r="F26" s="132" t="s">
        <v>663</v>
      </c>
      <c r="G26" s="143">
        <v>225000</v>
      </c>
      <c r="H26" s="131">
        <v>45930</v>
      </c>
      <c r="I26" s="19" t="str">
        <f>IF(N26&gt;1,"group","individual")</f>
        <v>group</v>
      </c>
      <c r="J26" s="132"/>
      <c r="K26" s="133">
        <v>3</v>
      </c>
      <c r="L26" s="132"/>
      <c r="M26" s="132"/>
      <c r="N26" s="19">
        <f>SUM(J26:K26)</f>
        <v>3</v>
      </c>
      <c r="O26" s="19">
        <f>SUM(L26:M26)</f>
        <v>0</v>
      </c>
      <c r="P26" s="176" t="s">
        <v>647</v>
      </c>
      <c r="Q26" s="184"/>
      <c r="R26" s="193">
        <v>45959</v>
      </c>
    </row>
    <row r="27" spans="1:18" ht="15.75" customHeight="1">
      <c r="A27" s="132" t="s">
        <v>25</v>
      </c>
      <c r="B27" s="132" t="s">
        <v>26</v>
      </c>
      <c r="C27" s="132" t="s">
        <v>5</v>
      </c>
      <c r="D27" s="132" t="s">
        <v>6</v>
      </c>
      <c r="E27" s="132" t="s">
        <v>675</v>
      </c>
      <c r="F27" s="132" t="s">
        <v>663</v>
      </c>
      <c r="G27" s="143">
        <v>150000</v>
      </c>
      <c r="H27" s="131">
        <v>45930</v>
      </c>
      <c r="I27" s="19" t="str">
        <f>IF(N27&gt;1,"group","individual")</f>
        <v>group</v>
      </c>
      <c r="J27" s="132"/>
      <c r="K27" s="133">
        <v>2</v>
      </c>
      <c r="L27" s="132"/>
      <c r="M27" s="132"/>
      <c r="N27" s="19">
        <f>SUM(J27:K27)</f>
        <v>2</v>
      </c>
      <c r="O27" s="19">
        <f>SUM(L27:M27)</f>
        <v>0</v>
      </c>
      <c r="P27" s="176" t="s">
        <v>647</v>
      </c>
      <c r="Q27" s="184"/>
      <c r="R27" s="193">
        <v>45959</v>
      </c>
    </row>
    <row r="28" spans="1:18" ht="15.75" customHeight="1">
      <c r="A28" s="132" t="s">
        <v>25</v>
      </c>
      <c r="B28" s="132" t="s">
        <v>26</v>
      </c>
      <c r="C28" s="132" t="s">
        <v>5</v>
      </c>
      <c r="D28" s="132" t="s">
        <v>6</v>
      </c>
      <c r="E28" s="132" t="s">
        <v>676</v>
      </c>
      <c r="F28" s="132" t="s">
        <v>663</v>
      </c>
      <c r="G28" s="143">
        <v>150000</v>
      </c>
      <c r="H28" s="131">
        <v>45930</v>
      </c>
      <c r="I28" s="19" t="str">
        <f>IF(N28&gt;1,"group","individual")</f>
        <v>group</v>
      </c>
      <c r="J28" s="132"/>
      <c r="K28" s="133">
        <v>2</v>
      </c>
      <c r="L28" s="132"/>
      <c r="M28" s="132"/>
      <c r="N28" s="19">
        <f>SUM(J28:K28)</f>
        <v>2</v>
      </c>
      <c r="O28" s="19">
        <f>SUM(L28:M28)</f>
        <v>0</v>
      </c>
      <c r="P28" s="176" t="s">
        <v>647</v>
      </c>
      <c r="Q28" s="184"/>
      <c r="R28" s="193">
        <v>45959</v>
      </c>
    </row>
    <row r="29" spans="1:18" ht="15.75" customHeight="1">
      <c r="A29" s="132" t="s">
        <v>25</v>
      </c>
      <c r="B29" s="132" t="s">
        <v>26</v>
      </c>
      <c r="C29" s="132" t="s">
        <v>5</v>
      </c>
      <c r="D29" s="132" t="s">
        <v>6</v>
      </c>
      <c r="E29" s="132" t="s">
        <v>677</v>
      </c>
      <c r="F29" s="132" t="s">
        <v>663</v>
      </c>
      <c r="G29" s="133">
        <v>150000</v>
      </c>
      <c r="H29" s="131">
        <v>45930</v>
      </c>
      <c r="I29" s="19" t="str">
        <f>IF(N29&gt;1,"group","individual")</f>
        <v>group</v>
      </c>
      <c r="J29" s="132"/>
      <c r="K29" s="133">
        <v>2</v>
      </c>
      <c r="L29" s="132"/>
      <c r="M29" s="132"/>
      <c r="N29" s="19">
        <f>SUM(J29:K29)</f>
        <v>2</v>
      </c>
      <c r="O29" s="19">
        <f>SUM(L29:M29)</f>
        <v>0</v>
      </c>
      <c r="P29" s="176" t="s">
        <v>647</v>
      </c>
      <c r="Q29" s="184"/>
      <c r="R29" s="193">
        <v>45959</v>
      </c>
    </row>
    <row r="30" spans="1:18" ht="15.75" customHeight="1">
      <c r="A30" s="132" t="s">
        <v>25</v>
      </c>
      <c r="B30" s="132" t="s">
        <v>26</v>
      </c>
      <c r="C30" s="132" t="s">
        <v>5</v>
      </c>
      <c r="D30" s="132" t="s">
        <v>6</v>
      </c>
      <c r="E30" s="132" t="s">
        <v>678</v>
      </c>
      <c r="F30" s="132" t="s">
        <v>663</v>
      </c>
      <c r="G30" s="133">
        <v>150000</v>
      </c>
      <c r="H30" s="131">
        <v>45930</v>
      </c>
      <c r="I30" s="19" t="str">
        <f>IF(N30&gt;1,"group","individual")</f>
        <v>group</v>
      </c>
      <c r="J30" s="132"/>
      <c r="K30" s="133">
        <v>2</v>
      </c>
      <c r="L30" s="132"/>
      <c r="M30" s="132"/>
      <c r="N30" s="19">
        <f>SUM(J30:K30)</f>
        <v>2</v>
      </c>
      <c r="O30" s="19">
        <f>SUM(L30:M30)</f>
        <v>0</v>
      </c>
      <c r="P30" s="176" t="s">
        <v>647</v>
      </c>
      <c r="Q30" s="184"/>
      <c r="R30" s="193">
        <v>45959</v>
      </c>
    </row>
    <row r="31" spans="1:18" ht="15.75" customHeight="1">
      <c r="A31" s="132" t="s">
        <v>25</v>
      </c>
      <c r="B31" s="132" t="s">
        <v>26</v>
      </c>
      <c r="C31" s="132" t="s">
        <v>5</v>
      </c>
      <c r="D31" s="132" t="s">
        <v>6</v>
      </c>
      <c r="E31" s="132" t="s">
        <v>679</v>
      </c>
      <c r="F31" s="132" t="s">
        <v>663</v>
      </c>
      <c r="G31" s="133">
        <v>150000</v>
      </c>
      <c r="H31" s="131">
        <v>45930</v>
      </c>
      <c r="I31" s="19" t="str">
        <f>IF(N31&gt;1,"group","individual")</f>
        <v>group</v>
      </c>
      <c r="J31" s="132"/>
      <c r="K31" s="133">
        <v>2</v>
      </c>
      <c r="L31" s="132"/>
      <c r="M31" s="132"/>
      <c r="N31" s="19">
        <f>SUM(J31:K31)</f>
        <v>2</v>
      </c>
      <c r="O31" s="19">
        <f>SUM(L31:M31)</f>
        <v>0</v>
      </c>
      <c r="P31" s="176"/>
      <c r="Q31" s="187" t="s">
        <v>30</v>
      </c>
      <c r="R31" s="195">
        <v>46324</v>
      </c>
    </row>
    <row r="32" spans="1:18" ht="15.75" customHeight="1">
      <c r="A32" s="13" t="s">
        <v>25</v>
      </c>
      <c r="B32" s="13" t="s">
        <v>26</v>
      </c>
      <c r="C32" s="14" t="s">
        <v>7</v>
      </c>
      <c r="D32" s="15" t="s">
        <v>27</v>
      </c>
      <c r="E32" s="16" t="s">
        <v>28</v>
      </c>
      <c r="F32" s="16" t="s">
        <v>29</v>
      </c>
      <c r="G32" s="17">
        <v>225000</v>
      </c>
      <c r="H32" s="18">
        <v>45744</v>
      </c>
      <c r="I32" s="19" t="str">
        <f>IF(N32&gt;1,"group","individual")</f>
        <v>group</v>
      </c>
      <c r="J32" s="150">
        <v>1</v>
      </c>
      <c r="K32" s="20">
        <v>4</v>
      </c>
      <c r="L32" s="21"/>
      <c r="M32" s="21"/>
      <c r="N32" s="19">
        <f>SUM(J32:K32)</f>
        <v>5</v>
      </c>
      <c r="O32" s="19">
        <f>SUM(L32:M32)</f>
        <v>0</v>
      </c>
      <c r="P32" s="22" t="s">
        <v>30</v>
      </c>
      <c r="Q32" s="23" t="s">
        <v>31</v>
      </c>
    </row>
    <row r="33" spans="1:17" ht="15.75" customHeight="1">
      <c r="A33" s="13" t="s">
        <v>25</v>
      </c>
      <c r="B33" s="13" t="s">
        <v>26</v>
      </c>
      <c r="C33" s="14" t="s">
        <v>7</v>
      </c>
      <c r="D33" s="15" t="s">
        <v>27</v>
      </c>
      <c r="E33" s="16" t="s">
        <v>32</v>
      </c>
      <c r="F33" s="16" t="s">
        <v>33</v>
      </c>
      <c r="G33" s="17">
        <v>225000</v>
      </c>
      <c r="H33" s="150" t="s">
        <v>34</v>
      </c>
      <c r="I33" s="19" t="str">
        <f>IF(N33&gt;1,"group","individual")</f>
        <v>group</v>
      </c>
      <c r="J33" s="20">
        <v>4</v>
      </c>
      <c r="K33" s="24"/>
      <c r="L33" s="21"/>
      <c r="M33" s="21"/>
      <c r="N33" s="19">
        <f>SUM(J33:K33)</f>
        <v>4</v>
      </c>
      <c r="O33" s="19">
        <f>SUM(L33:M33)</f>
        <v>0</v>
      </c>
      <c r="P33" s="22" t="s">
        <v>30</v>
      </c>
      <c r="Q33" s="23" t="s">
        <v>35</v>
      </c>
    </row>
    <row r="34" spans="1:17" ht="15.75" customHeight="1">
      <c r="A34" s="13" t="s">
        <v>25</v>
      </c>
      <c r="B34" s="13" t="s">
        <v>26</v>
      </c>
      <c r="C34" s="14" t="s">
        <v>7</v>
      </c>
      <c r="D34" s="15" t="s">
        <v>27</v>
      </c>
      <c r="E34" s="16" t="s">
        <v>36</v>
      </c>
      <c r="F34" s="16" t="s">
        <v>37</v>
      </c>
      <c r="G34" s="17">
        <v>225000</v>
      </c>
      <c r="H34" s="150" t="s">
        <v>38</v>
      </c>
      <c r="I34" s="19" t="str">
        <f>IF(N34&gt;1,"group","individual")</f>
        <v>group</v>
      </c>
      <c r="J34" s="47"/>
      <c r="K34" s="150">
        <v>5</v>
      </c>
      <c r="L34" s="21"/>
      <c r="M34" s="21"/>
      <c r="N34" s="19">
        <f>SUM(J34:K34)</f>
        <v>5</v>
      </c>
      <c r="O34" s="19">
        <f>SUM(L34:M34)</f>
        <v>0</v>
      </c>
      <c r="P34" s="22" t="s">
        <v>30</v>
      </c>
      <c r="Q34" s="23" t="s">
        <v>39</v>
      </c>
    </row>
    <row r="35" spans="1:17" ht="15.75" customHeight="1">
      <c r="A35" s="13" t="s">
        <v>25</v>
      </c>
      <c r="B35" s="13" t="s">
        <v>26</v>
      </c>
      <c r="C35" s="14" t="s">
        <v>7</v>
      </c>
      <c r="D35" s="15" t="s">
        <v>27</v>
      </c>
      <c r="E35" s="16" t="s">
        <v>40</v>
      </c>
      <c r="F35" s="16" t="s">
        <v>41</v>
      </c>
      <c r="G35" s="17">
        <v>75000</v>
      </c>
      <c r="H35" s="18">
        <v>45803</v>
      </c>
      <c r="I35" s="19" t="str">
        <f>IF(N35&gt;1,"group","individual")</f>
        <v>individual</v>
      </c>
      <c r="J35" s="150">
        <v>1</v>
      </c>
      <c r="K35" s="47"/>
      <c r="L35" s="21"/>
      <c r="M35" s="21"/>
      <c r="N35" s="19">
        <f>SUM(J35:K35)</f>
        <v>1</v>
      </c>
      <c r="O35" s="19">
        <f>SUM(L35:M35)</f>
        <v>0</v>
      </c>
      <c r="P35" s="22" t="s">
        <v>30</v>
      </c>
      <c r="Q35" s="23" t="s">
        <v>42</v>
      </c>
    </row>
    <row r="36" spans="1:17" ht="15.75" customHeight="1">
      <c r="A36" s="13" t="s">
        <v>25</v>
      </c>
      <c r="B36" s="13" t="s">
        <v>26</v>
      </c>
      <c r="C36" s="14" t="s">
        <v>7</v>
      </c>
      <c r="D36" s="15" t="s">
        <v>27</v>
      </c>
      <c r="E36" s="16" t="s">
        <v>43</v>
      </c>
      <c r="F36" s="15" t="s">
        <v>44</v>
      </c>
      <c r="G36" s="17">
        <v>75000</v>
      </c>
      <c r="H36" s="18">
        <v>45803</v>
      </c>
      <c r="I36" s="19" t="str">
        <f>IF(N36&gt;1,"group","individual")</f>
        <v>individual</v>
      </c>
      <c r="J36" s="150">
        <v>1</v>
      </c>
      <c r="K36" s="47"/>
      <c r="L36" s="21"/>
      <c r="M36" s="21"/>
      <c r="N36" s="19">
        <f>SUM(J36:K36)</f>
        <v>1</v>
      </c>
      <c r="O36" s="19">
        <f>SUM(L36:M36)</f>
        <v>0</v>
      </c>
      <c r="P36" s="22" t="s">
        <v>30</v>
      </c>
      <c r="Q36" s="23" t="s">
        <v>42</v>
      </c>
    </row>
    <row r="37" spans="1:17" ht="15.75" customHeight="1">
      <c r="A37" s="13" t="s">
        <v>25</v>
      </c>
      <c r="B37" s="13" t="s">
        <v>26</v>
      </c>
      <c r="C37" s="14" t="s">
        <v>7</v>
      </c>
      <c r="D37" s="15" t="s">
        <v>27</v>
      </c>
      <c r="E37" s="16" t="s">
        <v>45</v>
      </c>
      <c r="F37" s="15" t="s">
        <v>46</v>
      </c>
      <c r="G37" s="17">
        <v>225000</v>
      </c>
      <c r="H37" s="25">
        <v>45792</v>
      </c>
      <c r="I37" s="19" t="str">
        <f>IF(N37&gt;1,"group","individual")</f>
        <v>group</v>
      </c>
      <c r="J37" s="24"/>
      <c r="K37" s="20">
        <v>3</v>
      </c>
      <c r="L37" s="21"/>
      <c r="M37" s="21"/>
      <c r="N37" s="19">
        <f>SUM(J37:K37)</f>
        <v>3</v>
      </c>
      <c r="O37" s="19">
        <f>SUM(L37:M37)</f>
        <v>0</v>
      </c>
      <c r="P37" s="22" t="s">
        <v>30</v>
      </c>
      <c r="Q37" s="23" t="s">
        <v>47</v>
      </c>
    </row>
    <row r="38" spans="1:17" ht="15.75" customHeight="1">
      <c r="A38" s="13" t="s">
        <v>25</v>
      </c>
      <c r="B38" s="13" t="s">
        <v>26</v>
      </c>
      <c r="C38" s="14" t="s">
        <v>7</v>
      </c>
      <c r="D38" s="15" t="s">
        <v>27</v>
      </c>
      <c r="E38" s="16" t="s">
        <v>48</v>
      </c>
      <c r="F38" s="15" t="s">
        <v>46</v>
      </c>
      <c r="G38" s="17">
        <v>225000</v>
      </c>
      <c r="H38" s="25">
        <v>45812</v>
      </c>
      <c r="I38" s="19" t="str">
        <f>IF(N38&gt;1,"group","individual")</f>
        <v>group</v>
      </c>
      <c r="J38" s="24"/>
      <c r="K38" s="20">
        <v>4</v>
      </c>
      <c r="L38" s="21"/>
      <c r="M38" s="21"/>
      <c r="N38" s="19">
        <f>SUM(J38:K38)</f>
        <v>4</v>
      </c>
      <c r="O38" s="19">
        <f>SUM(L38:M38)</f>
        <v>0</v>
      </c>
      <c r="P38" s="22" t="s">
        <v>30</v>
      </c>
      <c r="Q38" s="23" t="s">
        <v>49</v>
      </c>
    </row>
    <row r="39" spans="1:17" ht="15.75" customHeight="1">
      <c r="A39" s="118" t="s">
        <v>25</v>
      </c>
      <c r="B39" s="118" t="s">
        <v>26</v>
      </c>
      <c r="C39" s="45" t="s">
        <v>7</v>
      </c>
      <c r="D39" s="70" t="s">
        <v>27</v>
      </c>
      <c r="E39" s="70" t="s">
        <v>50</v>
      </c>
      <c r="F39" s="70" t="s">
        <v>46</v>
      </c>
      <c r="G39" s="17">
        <v>75000</v>
      </c>
      <c r="H39" s="25">
        <v>45812</v>
      </c>
      <c r="I39" s="19" t="str">
        <f>IF(N39&gt;1,"group","individual")</f>
        <v>individual</v>
      </c>
      <c r="J39" s="47"/>
      <c r="K39" s="150">
        <v>1</v>
      </c>
      <c r="L39" s="118"/>
      <c r="M39" s="118"/>
      <c r="N39" s="19">
        <f>SUM(J39:K39)</f>
        <v>1</v>
      </c>
      <c r="O39" s="19">
        <f>SUM(L39:M39)</f>
        <v>0</v>
      </c>
      <c r="P39" s="22" t="s">
        <v>30</v>
      </c>
      <c r="Q39" s="23" t="s">
        <v>49</v>
      </c>
    </row>
    <row r="40" spans="1:17" ht="15.75" customHeight="1">
      <c r="A40" s="13" t="s">
        <v>25</v>
      </c>
      <c r="B40" s="13" t="s">
        <v>26</v>
      </c>
      <c r="C40" s="14" t="s">
        <v>7</v>
      </c>
      <c r="D40" s="15" t="s">
        <v>27</v>
      </c>
      <c r="E40" s="15" t="s">
        <v>51</v>
      </c>
      <c r="F40" s="15" t="s">
        <v>52</v>
      </c>
      <c r="G40" s="17">
        <v>75000</v>
      </c>
      <c r="H40" s="25">
        <v>45812</v>
      </c>
      <c r="I40" s="19" t="str">
        <f>IF(N40&gt;1,"group","individual")</f>
        <v>individual</v>
      </c>
      <c r="J40" s="47"/>
      <c r="K40" s="150">
        <v>1</v>
      </c>
      <c r="L40" s="21"/>
      <c r="M40" s="21"/>
      <c r="N40" s="19">
        <f>SUM(J40:K40)</f>
        <v>1</v>
      </c>
      <c r="O40" s="19">
        <f>SUM(L40:M40)</f>
        <v>0</v>
      </c>
      <c r="P40" s="22" t="s">
        <v>30</v>
      </c>
      <c r="Q40" s="23" t="s">
        <v>49</v>
      </c>
    </row>
    <row r="41" spans="1:17" ht="15.75" customHeight="1">
      <c r="A41" s="13" t="s">
        <v>25</v>
      </c>
      <c r="B41" s="13" t="s">
        <v>26</v>
      </c>
      <c r="C41" s="14" t="s">
        <v>7</v>
      </c>
      <c r="D41" s="15" t="s">
        <v>27</v>
      </c>
      <c r="E41" s="15" t="s">
        <v>53</v>
      </c>
      <c r="F41" s="15" t="s">
        <v>54</v>
      </c>
      <c r="G41" s="17">
        <v>75000</v>
      </c>
      <c r="H41" s="18">
        <v>45820</v>
      </c>
      <c r="I41" s="19" t="str">
        <f>IF(N41&gt;1,"group","individual")</f>
        <v>individual</v>
      </c>
      <c r="J41" s="20">
        <v>1</v>
      </c>
      <c r="K41" s="47"/>
      <c r="L41" s="21"/>
      <c r="M41" s="21"/>
      <c r="N41" s="19">
        <f>SUM(J41:K41)</f>
        <v>1</v>
      </c>
      <c r="O41" s="19">
        <f>SUM(L41:M41)</f>
        <v>0</v>
      </c>
      <c r="P41" s="22" t="s">
        <v>30</v>
      </c>
      <c r="Q41" s="23" t="s">
        <v>55</v>
      </c>
    </row>
    <row r="42" spans="1:17" ht="15.75" customHeight="1">
      <c r="A42" s="13" t="s">
        <v>25</v>
      </c>
      <c r="B42" s="13" t="s">
        <v>26</v>
      </c>
      <c r="C42" s="14" t="s">
        <v>7</v>
      </c>
      <c r="D42" s="15" t="s">
        <v>27</v>
      </c>
      <c r="E42" s="15" t="s">
        <v>56</v>
      </c>
      <c r="F42" s="15" t="s">
        <v>57</v>
      </c>
      <c r="G42" s="17">
        <v>75000</v>
      </c>
      <c r="H42" s="18">
        <v>45820</v>
      </c>
      <c r="I42" s="19" t="str">
        <f>IF(N42&gt;1,"group","individual")</f>
        <v>individual</v>
      </c>
      <c r="J42" s="20">
        <v>1</v>
      </c>
      <c r="K42" s="47"/>
      <c r="L42" s="21"/>
      <c r="M42" s="21"/>
      <c r="N42" s="19">
        <f>SUM(J42:K42)</f>
        <v>1</v>
      </c>
      <c r="O42" s="19">
        <f>SUM(L42:M42)</f>
        <v>0</v>
      </c>
      <c r="P42" s="22" t="s">
        <v>30</v>
      </c>
      <c r="Q42" s="23" t="s">
        <v>58</v>
      </c>
    </row>
    <row r="43" spans="1:17" ht="15.75" customHeight="1">
      <c r="A43" s="13" t="s">
        <v>25</v>
      </c>
      <c r="B43" s="13" t="s">
        <v>26</v>
      </c>
      <c r="C43" s="14" t="s">
        <v>7</v>
      </c>
      <c r="D43" s="15" t="s">
        <v>27</v>
      </c>
      <c r="E43" s="15" t="s">
        <v>59</v>
      </c>
      <c r="F43" s="15" t="s">
        <v>60</v>
      </c>
      <c r="G43" s="17">
        <v>225000</v>
      </c>
      <c r="H43" s="26">
        <v>45827</v>
      </c>
      <c r="I43" s="19" t="str">
        <f>IF(N43&gt;1,"group","individual")</f>
        <v>individual</v>
      </c>
      <c r="J43" s="24"/>
      <c r="K43" s="20">
        <v>1</v>
      </c>
      <c r="L43" s="21"/>
      <c r="M43" s="21"/>
      <c r="N43" s="19">
        <f>SUM(J43:K43)</f>
        <v>1</v>
      </c>
      <c r="O43" s="19">
        <f>SUM(L43:M43)</f>
        <v>0</v>
      </c>
      <c r="P43" s="22" t="s">
        <v>30</v>
      </c>
      <c r="Q43" s="23" t="s">
        <v>61</v>
      </c>
    </row>
    <row r="44" spans="1:17" ht="15.75" customHeight="1">
      <c r="A44" s="13" t="s">
        <v>25</v>
      </c>
      <c r="B44" s="13" t="s">
        <v>26</v>
      </c>
      <c r="C44" s="14" t="s">
        <v>7</v>
      </c>
      <c r="D44" s="15" t="s">
        <v>27</v>
      </c>
      <c r="E44" s="15" t="s">
        <v>62</v>
      </c>
      <c r="F44" s="15" t="s">
        <v>63</v>
      </c>
      <c r="G44" s="17">
        <v>225000</v>
      </c>
      <c r="H44" s="18">
        <v>45833</v>
      </c>
      <c r="I44" s="19" t="str">
        <f>IF(N44&gt;1,"group","individual")</f>
        <v>individual</v>
      </c>
      <c r="J44" s="47"/>
      <c r="K44" s="20">
        <v>1</v>
      </c>
      <c r="L44" s="21"/>
      <c r="M44" s="21"/>
      <c r="N44" s="19">
        <f>SUM(J44:K44)</f>
        <v>1</v>
      </c>
      <c r="O44" s="19">
        <f>SUM(L44:M44)</f>
        <v>0</v>
      </c>
      <c r="P44" s="22" t="s">
        <v>30</v>
      </c>
      <c r="Q44" s="23" t="s">
        <v>64</v>
      </c>
    </row>
    <row r="45" spans="1:17" ht="15.75" customHeight="1">
      <c r="A45" s="13" t="s">
        <v>25</v>
      </c>
      <c r="B45" s="13" t="s">
        <v>26</v>
      </c>
      <c r="C45" s="14" t="s">
        <v>7</v>
      </c>
      <c r="D45" s="15" t="s">
        <v>27</v>
      </c>
      <c r="E45" s="15" t="s">
        <v>65</v>
      </c>
      <c r="F45" s="15" t="s">
        <v>66</v>
      </c>
      <c r="G45" s="17">
        <v>75000</v>
      </c>
      <c r="H45" s="18">
        <v>45833</v>
      </c>
      <c r="I45" s="19" t="str">
        <f>IF(N45&gt;1,"group","individual")</f>
        <v>individual</v>
      </c>
      <c r="J45" s="24"/>
      <c r="K45" s="20">
        <v>1</v>
      </c>
      <c r="L45" s="21"/>
      <c r="M45" s="21"/>
      <c r="N45" s="19">
        <f>SUM(J45:K45)</f>
        <v>1</v>
      </c>
      <c r="O45" s="19">
        <f>SUM(L45:M45)</f>
        <v>0</v>
      </c>
      <c r="P45" s="22" t="s">
        <v>30</v>
      </c>
      <c r="Q45" s="23" t="s">
        <v>64</v>
      </c>
    </row>
    <row r="46" spans="1:17" ht="15.75" customHeight="1">
      <c r="A46" s="13" t="s">
        <v>25</v>
      </c>
      <c r="B46" s="13" t="s">
        <v>26</v>
      </c>
      <c r="C46" s="14" t="s">
        <v>7</v>
      </c>
      <c r="D46" s="15" t="s">
        <v>27</v>
      </c>
      <c r="E46" s="15" t="s">
        <v>67</v>
      </c>
      <c r="F46" s="15" t="s">
        <v>68</v>
      </c>
      <c r="G46" s="17">
        <v>75000</v>
      </c>
      <c r="H46" s="18">
        <v>45833</v>
      </c>
      <c r="I46" s="19" t="str">
        <f>IF(N46&gt;1,"group","individual")</f>
        <v>individual</v>
      </c>
      <c r="J46" s="47"/>
      <c r="K46" s="20">
        <v>1</v>
      </c>
      <c r="L46" s="21"/>
      <c r="M46" s="21"/>
      <c r="N46" s="19">
        <f>SUM(J46:K46)</f>
        <v>1</v>
      </c>
      <c r="O46" s="19">
        <f>SUM(L46:M46)</f>
        <v>0</v>
      </c>
      <c r="P46" s="22" t="s">
        <v>30</v>
      </c>
      <c r="Q46" s="23" t="s">
        <v>64</v>
      </c>
    </row>
    <row r="47" spans="1:17" ht="15.75" customHeight="1">
      <c r="A47" s="13" t="s">
        <v>25</v>
      </c>
      <c r="B47" s="13" t="s">
        <v>26</v>
      </c>
      <c r="C47" s="14" t="s">
        <v>7</v>
      </c>
      <c r="D47" s="15" t="s">
        <v>27</v>
      </c>
      <c r="E47" s="15" t="s">
        <v>69</v>
      </c>
      <c r="F47" s="15" t="s">
        <v>70</v>
      </c>
      <c r="G47" s="17">
        <v>75000</v>
      </c>
      <c r="H47" s="18">
        <v>45833</v>
      </c>
      <c r="I47" s="19" t="str">
        <f>IF(N47&gt;1,"group","individual")</f>
        <v>individual</v>
      </c>
      <c r="J47" s="47"/>
      <c r="K47" s="150">
        <v>1</v>
      </c>
      <c r="L47" s="21"/>
      <c r="M47" s="21"/>
      <c r="N47" s="19">
        <f>SUM(J47:K47)</f>
        <v>1</v>
      </c>
      <c r="O47" s="19">
        <f>SUM(L47:M47)</f>
        <v>0</v>
      </c>
      <c r="P47" s="22" t="s">
        <v>30</v>
      </c>
      <c r="Q47" s="23" t="s">
        <v>64</v>
      </c>
    </row>
    <row r="48" spans="1:17" ht="15.75" customHeight="1">
      <c r="A48" s="13" t="s">
        <v>25</v>
      </c>
      <c r="B48" s="13" t="s">
        <v>26</v>
      </c>
      <c r="C48" s="14" t="s">
        <v>7</v>
      </c>
      <c r="D48" s="15" t="s">
        <v>27</v>
      </c>
      <c r="E48" s="15" t="s">
        <v>71</v>
      </c>
      <c r="F48" s="15" t="s">
        <v>60</v>
      </c>
      <c r="G48" s="17">
        <v>75000</v>
      </c>
      <c r="H48" s="18">
        <v>45833</v>
      </c>
      <c r="I48" s="19" t="str">
        <f>IF(N48&gt;1,"group","individual")</f>
        <v>individual</v>
      </c>
      <c r="J48" s="47"/>
      <c r="K48" s="150">
        <v>1</v>
      </c>
      <c r="L48" s="21"/>
      <c r="M48" s="21"/>
      <c r="N48" s="19">
        <f>SUM(J48:K48)</f>
        <v>1</v>
      </c>
      <c r="O48" s="19">
        <f>SUM(L48:M48)</f>
        <v>0</v>
      </c>
      <c r="P48" s="22" t="s">
        <v>30</v>
      </c>
      <c r="Q48" s="23" t="s">
        <v>64</v>
      </c>
    </row>
    <row r="49" spans="1:17" ht="15.75" customHeight="1">
      <c r="A49" s="13" t="s">
        <v>25</v>
      </c>
      <c r="B49" s="13" t="s">
        <v>26</v>
      </c>
      <c r="C49" s="14" t="s">
        <v>7</v>
      </c>
      <c r="D49" s="15" t="s">
        <v>27</v>
      </c>
      <c r="E49" s="15" t="s">
        <v>72</v>
      </c>
      <c r="F49" s="15" t="s">
        <v>37</v>
      </c>
      <c r="G49" s="17">
        <v>75000</v>
      </c>
      <c r="H49" s="18">
        <v>45833</v>
      </c>
      <c r="I49" s="19" t="str">
        <f>IF(N49&gt;1,"group","individual")</f>
        <v>individual</v>
      </c>
      <c r="J49" s="47"/>
      <c r="K49" s="20">
        <v>1</v>
      </c>
      <c r="L49" s="21"/>
      <c r="M49" s="21"/>
      <c r="N49" s="19">
        <f>SUM(J49:K49)</f>
        <v>1</v>
      </c>
      <c r="O49" s="19">
        <f>SUM(L49:M49)</f>
        <v>0</v>
      </c>
      <c r="P49" s="22" t="s">
        <v>30</v>
      </c>
      <c r="Q49" s="23" t="s">
        <v>64</v>
      </c>
    </row>
    <row r="50" spans="1:17" ht="15.75" customHeight="1">
      <c r="A50" s="13" t="s">
        <v>25</v>
      </c>
      <c r="B50" s="13" t="s">
        <v>26</v>
      </c>
      <c r="C50" s="14" t="s">
        <v>7</v>
      </c>
      <c r="D50" s="15" t="s">
        <v>27</v>
      </c>
      <c r="E50" s="15" t="s">
        <v>73</v>
      </c>
      <c r="F50" s="15" t="s">
        <v>37</v>
      </c>
      <c r="G50" s="17">
        <v>75000</v>
      </c>
      <c r="H50" s="18">
        <v>45833</v>
      </c>
      <c r="I50" s="19" t="str">
        <f>IF(N50&gt;1,"group","individual")</f>
        <v>individual</v>
      </c>
      <c r="J50" s="24"/>
      <c r="K50" s="20">
        <v>1</v>
      </c>
      <c r="L50" s="21"/>
      <c r="M50" s="21"/>
      <c r="N50" s="19">
        <f>SUM(J50:K50)</f>
        <v>1</v>
      </c>
      <c r="O50" s="19">
        <f>SUM(L50:M50)</f>
        <v>0</v>
      </c>
      <c r="P50" s="22" t="s">
        <v>30</v>
      </c>
      <c r="Q50" s="23" t="s">
        <v>74</v>
      </c>
    </row>
    <row r="51" spans="1:17" ht="15.75" customHeight="1">
      <c r="A51" s="118" t="s">
        <v>25</v>
      </c>
      <c r="B51" s="118" t="s">
        <v>26</v>
      </c>
      <c r="C51" s="45" t="s">
        <v>7</v>
      </c>
      <c r="D51" s="70" t="s">
        <v>27</v>
      </c>
      <c r="E51" s="15" t="s">
        <v>75</v>
      </c>
      <c r="F51" s="70" t="s">
        <v>76</v>
      </c>
      <c r="G51" s="17">
        <v>225000</v>
      </c>
      <c r="H51" s="18">
        <v>45833</v>
      </c>
      <c r="I51" s="19" t="str">
        <f>IF(N51&gt;1,"group","individual")</f>
        <v>individual</v>
      </c>
      <c r="J51" s="47"/>
      <c r="K51" s="47"/>
      <c r="L51" s="27">
        <v>1</v>
      </c>
      <c r="M51" s="118"/>
      <c r="N51" s="19">
        <f>SUM(J51:K51)</f>
        <v>0</v>
      </c>
      <c r="O51" s="19">
        <f>SUM(L51:M51)</f>
        <v>1</v>
      </c>
      <c r="P51" s="22" t="s">
        <v>30</v>
      </c>
      <c r="Q51" s="23" t="s">
        <v>77</v>
      </c>
    </row>
    <row r="52" spans="1:17" ht="15.75" customHeight="1">
      <c r="A52" s="118" t="s">
        <v>25</v>
      </c>
      <c r="B52" s="118" t="s">
        <v>26</v>
      </c>
      <c r="C52" s="45" t="s">
        <v>7</v>
      </c>
      <c r="D52" s="70" t="s">
        <v>27</v>
      </c>
      <c r="E52" s="15" t="s">
        <v>78</v>
      </c>
      <c r="F52" s="70" t="s">
        <v>79</v>
      </c>
      <c r="G52" s="17">
        <v>75000</v>
      </c>
      <c r="H52" s="18">
        <v>45833</v>
      </c>
      <c r="I52" s="19" t="str">
        <f>IF(N52&gt;1,"group","individual")</f>
        <v>individual</v>
      </c>
      <c r="J52" s="150">
        <v>1</v>
      </c>
      <c r="K52" s="47"/>
      <c r="L52" s="118"/>
      <c r="M52" s="118"/>
      <c r="N52" s="19">
        <f>SUM(J52:K52)</f>
        <v>1</v>
      </c>
      <c r="O52" s="19">
        <f>SUM(L52:M52)</f>
        <v>0</v>
      </c>
      <c r="P52" s="22" t="s">
        <v>30</v>
      </c>
      <c r="Q52" s="23" t="s">
        <v>77</v>
      </c>
    </row>
    <row r="53" spans="1:17" ht="15.75" customHeight="1">
      <c r="A53" s="118" t="s">
        <v>25</v>
      </c>
      <c r="B53" s="118" t="s">
        <v>26</v>
      </c>
      <c r="C53" s="45" t="s">
        <v>7</v>
      </c>
      <c r="D53" s="70" t="s">
        <v>27</v>
      </c>
      <c r="E53" s="15" t="s">
        <v>80</v>
      </c>
      <c r="F53" s="70" t="s">
        <v>76</v>
      </c>
      <c r="G53" s="17">
        <v>225000</v>
      </c>
      <c r="H53" s="28">
        <v>45834</v>
      </c>
      <c r="I53" s="19" t="str">
        <f>IF(N53&gt;1,"group","individual")</f>
        <v>individual</v>
      </c>
      <c r="J53" s="47"/>
      <c r="K53" s="150">
        <v>1</v>
      </c>
      <c r="L53" s="118"/>
      <c r="M53" s="118"/>
      <c r="N53" s="19">
        <f>SUM(J53:K53)</f>
        <v>1</v>
      </c>
      <c r="O53" s="19">
        <f>SUM(L53:M53)</f>
        <v>0</v>
      </c>
      <c r="P53" s="22" t="s">
        <v>30</v>
      </c>
      <c r="Q53" s="23" t="s">
        <v>81</v>
      </c>
    </row>
    <row r="54" spans="1:17" ht="15.75" customHeight="1">
      <c r="A54" s="13" t="s">
        <v>25</v>
      </c>
      <c r="B54" s="13" t="s">
        <v>26</v>
      </c>
      <c r="C54" s="14" t="s">
        <v>7</v>
      </c>
      <c r="D54" s="15" t="s">
        <v>27</v>
      </c>
      <c r="E54" s="15" t="s">
        <v>82</v>
      </c>
      <c r="F54" s="15" t="s">
        <v>83</v>
      </c>
      <c r="G54" s="17">
        <v>75000</v>
      </c>
      <c r="H54" s="28">
        <v>45834</v>
      </c>
      <c r="I54" s="19" t="str">
        <f>IF(N54&gt;1,"group","individual")</f>
        <v>individual</v>
      </c>
      <c r="J54" s="47"/>
      <c r="K54" s="150">
        <v>1</v>
      </c>
      <c r="L54" s="21"/>
      <c r="M54" s="21"/>
      <c r="N54" s="19">
        <f>SUM(J54:K54)</f>
        <v>1</v>
      </c>
      <c r="O54" s="19">
        <f>SUM(L54:M54)</f>
        <v>0</v>
      </c>
      <c r="P54" s="22" t="s">
        <v>30</v>
      </c>
      <c r="Q54" s="23" t="s">
        <v>81</v>
      </c>
    </row>
    <row r="55" spans="1:17" ht="15.75" customHeight="1">
      <c r="A55" s="13" t="s">
        <v>25</v>
      </c>
      <c r="B55" s="13" t="s">
        <v>26</v>
      </c>
      <c r="C55" s="14" t="s">
        <v>7</v>
      </c>
      <c r="D55" s="15" t="s">
        <v>27</v>
      </c>
      <c r="E55" s="15" t="s">
        <v>84</v>
      </c>
      <c r="F55" s="15" t="s">
        <v>46</v>
      </c>
      <c r="G55" s="17">
        <v>75000</v>
      </c>
      <c r="H55" s="28">
        <v>45834</v>
      </c>
      <c r="I55" s="19" t="str">
        <f>IF(N55&gt;1,"group","individual")</f>
        <v>individual</v>
      </c>
      <c r="J55" s="20">
        <v>1</v>
      </c>
      <c r="K55" s="24"/>
      <c r="L55" s="21"/>
      <c r="M55" s="21"/>
      <c r="N55" s="19">
        <f>SUM(J55:K55)</f>
        <v>1</v>
      </c>
      <c r="O55" s="19">
        <f>SUM(L55:M55)</f>
        <v>0</v>
      </c>
      <c r="P55" s="22" t="s">
        <v>30</v>
      </c>
      <c r="Q55" s="23" t="s">
        <v>81</v>
      </c>
    </row>
    <row r="56" spans="1:17" ht="15.75" customHeight="1">
      <c r="A56" s="13" t="s">
        <v>25</v>
      </c>
      <c r="B56" s="13" t="s">
        <v>26</v>
      </c>
      <c r="C56" s="14" t="s">
        <v>7</v>
      </c>
      <c r="D56" s="15" t="s">
        <v>27</v>
      </c>
      <c r="E56" s="15" t="s">
        <v>85</v>
      </c>
      <c r="F56" s="15" t="s">
        <v>46</v>
      </c>
      <c r="G56" s="17">
        <v>75000</v>
      </c>
      <c r="H56" s="28">
        <v>45834</v>
      </c>
      <c r="I56" s="19" t="str">
        <f>IF(N56&gt;1,"group","individual")</f>
        <v>individual</v>
      </c>
      <c r="J56" s="24"/>
      <c r="K56" s="20">
        <v>1</v>
      </c>
      <c r="L56" s="21"/>
      <c r="M56" s="21"/>
      <c r="N56" s="19">
        <f>SUM(J56:K56)</f>
        <v>1</v>
      </c>
      <c r="O56" s="19">
        <f>SUM(L56:M56)</f>
        <v>0</v>
      </c>
      <c r="P56" s="22" t="s">
        <v>30</v>
      </c>
      <c r="Q56" s="23" t="s">
        <v>81</v>
      </c>
    </row>
    <row r="57" spans="1:17" ht="15.75" customHeight="1">
      <c r="A57" s="13" t="s">
        <v>25</v>
      </c>
      <c r="B57" s="13" t="s">
        <v>26</v>
      </c>
      <c r="C57" s="14" t="s">
        <v>7</v>
      </c>
      <c r="D57" s="15" t="s">
        <v>27</v>
      </c>
      <c r="E57" s="15" t="s">
        <v>86</v>
      </c>
      <c r="F57" s="15" t="s">
        <v>83</v>
      </c>
      <c r="G57" s="17">
        <v>150000</v>
      </c>
      <c r="H57" s="28">
        <v>45834</v>
      </c>
      <c r="I57" s="19" t="str">
        <f>IF(N57&gt;1,"group","individual")</f>
        <v>group</v>
      </c>
      <c r="J57" s="24"/>
      <c r="K57" s="20">
        <v>2</v>
      </c>
      <c r="L57" s="21"/>
      <c r="M57" s="21"/>
      <c r="N57" s="19">
        <f>SUM(J57:K57)</f>
        <v>2</v>
      </c>
      <c r="O57" s="19">
        <f>SUM(L57:M57)</f>
        <v>0</v>
      </c>
      <c r="P57" s="22" t="s">
        <v>30</v>
      </c>
      <c r="Q57" s="23" t="s">
        <v>81</v>
      </c>
    </row>
    <row r="58" spans="1:17" ht="15.75" customHeight="1">
      <c r="A58" s="13" t="s">
        <v>25</v>
      </c>
      <c r="B58" s="13" t="s">
        <v>26</v>
      </c>
      <c r="C58" s="14" t="s">
        <v>7</v>
      </c>
      <c r="D58" s="15" t="s">
        <v>27</v>
      </c>
      <c r="E58" s="15" t="s">
        <v>87</v>
      </c>
      <c r="F58" s="15" t="s">
        <v>37</v>
      </c>
      <c r="G58" s="17">
        <v>75000</v>
      </c>
      <c r="H58" s="28">
        <v>45835</v>
      </c>
      <c r="I58" s="19" t="str">
        <f>IF(N58&gt;1,"group","individual")</f>
        <v>individual</v>
      </c>
      <c r="J58" s="47"/>
      <c r="K58" s="20">
        <v>1</v>
      </c>
      <c r="L58" s="21"/>
      <c r="M58" s="21"/>
      <c r="N58" s="19">
        <f>SUM(J58:K58)</f>
        <v>1</v>
      </c>
      <c r="O58" s="19">
        <f>SUM(L58:M58)</f>
        <v>0</v>
      </c>
      <c r="P58" s="22" t="s">
        <v>30</v>
      </c>
      <c r="Q58" s="23" t="s">
        <v>81</v>
      </c>
    </row>
    <row r="59" spans="1:17" ht="15.75" customHeight="1">
      <c r="A59" s="44" t="s">
        <v>25</v>
      </c>
      <c r="B59" s="44" t="s">
        <v>26</v>
      </c>
      <c r="C59" s="45" t="s">
        <v>7</v>
      </c>
      <c r="D59" s="15" t="s">
        <v>27</v>
      </c>
      <c r="E59" s="15" t="s">
        <v>88</v>
      </c>
      <c r="F59" s="15" t="s">
        <v>37</v>
      </c>
      <c r="G59" s="17">
        <v>75000</v>
      </c>
      <c r="H59" s="28">
        <v>45835</v>
      </c>
      <c r="I59" s="19" t="str">
        <f>IF(N59&gt;1,"group","individual")</f>
        <v>individual</v>
      </c>
      <c r="J59" s="47"/>
      <c r="K59" s="20">
        <v>1</v>
      </c>
      <c r="L59" s="21"/>
      <c r="M59" s="21"/>
      <c r="N59" s="19">
        <f>SUM(J59:K59)</f>
        <v>1</v>
      </c>
      <c r="O59" s="19">
        <f>SUM(L59:M59)</f>
        <v>0</v>
      </c>
      <c r="P59" s="22" t="s">
        <v>30</v>
      </c>
      <c r="Q59" s="23" t="s">
        <v>81</v>
      </c>
    </row>
    <row r="60" spans="1:17" ht="15.75" customHeight="1">
      <c r="A60" s="118" t="s">
        <v>25</v>
      </c>
      <c r="B60" s="118" t="s">
        <v>26</v>
      </c>
      <c r="C60" s="45" t="s">
        <v>7</v>
      </c>
      <c r="D60" s="70" t="s">
        <v>27</v>
      </c>
      <c r="E60" s="70" t="s">
        <v>89</v>
      </c>
      <c r="F60" s="70" t="s">
        <v>90</v>
      </c>
      <c r="G60" s="17">
        <v>75000</v>
      </c>
      <c r="H60" s="28">
        <v>45835</v>
      </c>
      <c r="I60" s="19" t="str">
        <f>IF(N60&gt;1,"group","individual")</f>
        <v>individual</v>
      </c>
      <c r="J60" s="47"/>
      <c r="K60" s="150">
        <v>1</v>
      </c>
      <c r="L60" s="118"/>
      <c r="M60" s="118"/>
      <c r="N60" s="19">
        <f>SUM(J60:K60)</f>
        <v>1</v>
      </c>
      <c r="O60" s="19">
        <f>SUM(L60:M60)</f>
        <v>0</v>
      </c>
      <c r="P60" s="22" t="s">
        <v>30</v>
      </c>
      <c r="Q60" s="23" t="s">
        <v>81</v>
      </c>
    </row>
    <row r="61" spans="1:17" ht="15.75" customHeight="1">
      <c r="A61" s="13" t="s">
        <v>25</v>
      </c>
      <c r="B61" s="13" t="s">
        <v>26</v>
      </c>
      <c r="C61" s="14" t="s">
        <v>7</v>
      </c>
      <c r="D61" s="15" t="s">
        <v>27</v>
      </c>
      <c r="E61" s="15" t="s">
        <v>91</v>
      </c>
      <c r="F61" s="15" t="s">
        <v>92</v>
      </c>
      <c r="G61" s="17">
        <v>75000</v>
      </c>
      <c r="H61" s="28">
        <v>45835</v>
      </c>
      <c r="I61" s="19" t="str">
        <f>IF(N61&gt;1,"group","individual")</f>
        <v>individual</v>
      </c>
      <c r="J61" s="47"/>
      <c r="K61" s="20">
        <v>1</v>
      </c>
      <c r="L61" s="21"/>
      <c r="M61" s="21"/>
      <c r="N61" s="19">
        <f>SUM(J61:K61)</f>
        <v>1</v>
      </c>
      <c r="O61" s="19">
        <f>SUM(L61:M61)</f>
        <v>0</v>
      </c>
      <c r="P61" s="22" t="s">
        <v>30</v>
      </c>
      <c r="Q61" s="23" t="s">
        <v>81</v>
      </c>
    </row>
    <row r="62" spans="1:17" ht="15.75" customHeight="1">
      <c r="A62" s="13" t="s">
        <v>25</v>
      </c>
      <c r="B62" s="13" t="s">
        <v>26</v>
      </c>
      <c r="C62" s="14" t="s">
        <v>7</v>
      </c>
      <c r="D62" s="15" t="s">
        <v>27</v>
      </c>
      <c r="E62" s="15" t="s">
        <v>93</v>
      </c>
      <c r="F62" s="15" t="s">
        <v>46</v>
      </c>
      <c r="G62" s="17">
        <v>75000</v>
      </c>
      <c r="H62" s="28">
        <v>45835</v>
      </c>
      <c r="I62" s="19" t="str">
        <f>IF(N62&gt;1,"group","individual")</f>
        <v>individual</v>
      </c>
      <c r="J62" s="47"/>
      <c r="K62" s="20">
        <v>1</v>
      </c>
      <c r="L62" s="21"/>
      <c r="M62" s="21"/>
      <c r="N62" s="19">
        <f>SUM(J62:K62)</f>
        <v>1</v>
      </c>
      <c r="O62" s="19">
        <f>SUM(L62:M62)</f>
        <v>0</v>
      </c>
      <c r="P62" s="22" t="s">
        <v>30</v>
      </c>
      <c r="Q62" s="23" t="s">
        <v>81</v>
      </c>
    </row>
    <row r="63" spans="1:17" ht="15.75" customHeight="1">
      <c r="A63" s="13" t="s">
        <v>25</v>
      </c>
      <c r="B63" s="13" t="s">
        <v>26</v>
      </c>
      <c r="C63" s="14" t="s">
        <v>7</v>
      </c>
      <c r="D63" s="15" t="s">
        <v>27</v>
      </c>
      <c r="E63" s="15" t="s">
        <v>94</v>
      </c>
      <c r="F63" s="15" t="s">
        <v>95</v>
      </c>
      <c r="G63" s="17">
        <v>75000</v>
      </c>
      <c r="H63" s="29">
        <v>45838</v>
      </c>
      <c r="I63" s="19" t="str">
        <f>IF(N63&gt;1,"group","individual")</f>
        <v>individual</v>
      </c>
      <c r="J63" s="20">
        <v>1</v>
      </c>
      <c r="K63" s="47"/>
      <c r="L63" s="21"/>
      <c r="M63" s="21"/>
      <c r="N63" s="19">
        <f>SUM(J63:K63)</f>
        <v>1</v>
      </c>
      <c r="O63" s="19">
        <f>SUM(L63:M63)</f>
        <v>0</v>
      </c>
      <c r="P63" s="22" t="s">
        <v>30</v>
      </c>
      <c r="Q63" s="23" t="s">
        <v>96</v>
      </c>
    </row>
    <row r="64" spans="1:17" ht="15.75" customHeight="1">
      <c r="A64" s="13" t="s">
        <v>25</v>
      </c>
      <c r="B64" s="13" t="s">
        <v>26</v>
      </c>
      <c r="C64" s="14" t="s">
        <v>7</v>
      </c>
      <c r="D64" s="15" t="s">
        <v>27</v>
      </c>
      <c r="E64" s="15" t="s">
        <v>97</v>
      </c>
      <c r="F64" s="15" t="s">
        <v>95</v>
      </c>
      <c r="G64" s="17">
        <v>75000</v>
      </c>
      <c r="H64" s="29">
        <v>45838</v>
      </c>
      <c r="I64" s="19" t="str">
        <f>IF(N64&gt;1,"group","individual")</f>
        <v>individual</v>
      </c>
      <c r="J64" s="20">
        <v>1</v>
      </c>
      <c r="K64" s="47"/>
      <c r="L64" s="21"/>
      <c r="M64" s="21"/>
      <c r="N64" s="19">
        <f>SUM(J64:K64)</f>
        <v>1</v>
      </c>
      <c r="O64" s="19">
        <f>SUM(L64:M64)</f>
        <v>0</v>
      </c>
      <c r="P64" s="22" t="s">
        <v>30</v>
      </c>
      <c r="Q64" s="23" t="s">
        <v>98</v>
      </c>
    </row>
    <row r="65" spans="1:17" ht="15.75" customHeight="1">
      <c r="A65" s="13" t="s">
        <v>25</v>
      </c>
      <c r="B65" s="13" t="s">
        <v>26</v>
      </c>
      <c r="C65" s="14" t="s">
        <v>7</v>
      </c>
      <c r="D65" s="15" t="s">
        <v>27</v>
      </c>
      <c r="E65" s="15" t="s">
        <v>99</v>
      </c>
      <c r="F65" s="15" t="s">
        <v>37</v>
      </c>
      <c r="G65" s="17">
        <v>75000</v>
      </c>
      <c r="H65" s="29">
        <v>45838</v>
      </c>
      <c r="I65" s="19" t="str">
        <f>IF(N65&gt;1,"group","individual")</f>
        <v>individual</v>
      </c>
      <c r="J65" s="47"/>
      <c r="K65" s="20">
        <v>1</v>
      </c>
      <c r="L65" s="21"/>
      <c r="M65" s="21"/>
      <c r="N65" s="19">
        <f>SUM(J65:K65)</f>
        <v>1</v>
      </c>
      <c r="O65" s="19">
        <f>SUM(L65:M65)</f>
        <v>0</v>
      </c>
      <c r="P65" s="22" t="s">
        <v>30</v>
      </c>
      <c r="Q65" s="23" t="s">
        <v>100</v>
      </c>
    </row>
    <row r="66" spans="1:17" ht="15.75" customHeight="1">
      <c r="A66" s="13" t="s">
        <v>25</v>
      </c>
      <c r="B66" s="13" t="s">
        <v>26</v>
      </c>
      <c r="C66" s="14" t="s">
        <v>7</v>
      </c>
      <c r="D66" s="15" t="s">
        <v>27</v>
      </c>
      <c r="E66" s="15" t="s">
        <v>101</v>
      </c>
      <c r="F66" s="15" t="s">
        <v>102</v>
      </c>
      <c r="G66" s="17">
        <v>200000</v>
      </c>
      <c r="H66" s="150" t="s">
        <v>49</v>
      </c>
      <c r="I66" s="19" t="str">
        <f>IF(N66&gt;1,"group","individual")</f>
        <v>individual</v>
      </c>
      <c r="J66" s="47"/>
      <c r="K66" s="20">
        <v>1</v>
      </c>
      <c r="L66" s="21"/>
      <c r="M66" s="21"/>
      <c r="N66" s="19">
        <f>SUM(J66:K66)</f>
        <v>1</v>
      </c>
      <c r="O66" s="19">
        <f>SUM(L66:M66)</f>
        <v>0</v>
      </c>
      <c r="P66" s="22" t="s">
        <v>30</v>
      </c>
      <c r="Q66" s="23" t="s">
        <v>103</v>
      </c>
    </row>
    <row r="67" spans="1:17" ht="15.75" customHeight="1">
      <c r="A67" s="13" t="s">
        <v>25</v>
      </c>
      <c r="B67" s="13" t="s">
        <v>26</v>
      </c>
      <c r="C67" s="14" t="s">
        <v>7</v>
      </c>
      <c r="D67" s="15" t="s">
        <v>27</v>
      </c>
      <c r="E67" s="15" t="s">
        <v>104</v>
      </c>
      <c r="F67" s="15" t="s">
        <v>46</v>
      </c>
      <c r="G67" s="17">
        <v>75000</v>
      </c>
      <c r="H67" s="150" t="s">
        <v>49</v>
      </c>
      <c r="I67" s="19" t="str">
        <f>IF(N67&gt;1,"group","individual")</f>
        <v>individual</v>
      </c>
      <c r="J67" s="24"/>
      <c r="K67" s="20">
        <v>1</v>
      </c>
      <c r="L67" s="21"/>
      <c r="M67" s="21"/>
      <c r="N67" s="19">
        <f>SUM(J67:K67)</f>
        <v>1</v>
      </c>
      <c r="O67" s="19">
        <f>SUM(L67:M67)</f>
        <v>0</v>
      </c>
      <c r="P67" s="22" t="s">
        <v>30</v>
      </c>
      <c r="Q67" s="23" t="s">
        <v>103</v>
      </c>
    </row>
    <row r="68" spans="1:17" ht="15.75" customHeight="1">
      <c r="A68" s="13" t="s">
        <v>25</v>
      </c>
      <c r="B68" s="13" t="s">
        <v>26</v>
      </c>
      <c r="C68" s="14" t="s">
        <v>7</v>
      </c>
      <c r="D68" s="15" t="s">
        <v>27</v>
      </c>
      <c r="E68" s="15" t="s">
        <v>105</v>
      </c>
      <c r="F68" s="15" t="s">
        <v>106</v>
      </c>
      <c r="G68" s="17">
        <v>75000</v>
      </c>
      <c r="H68" s="150" t="s">
        <v>49</v>
      </c>
      <c r="I68" s="19" t="str">
        <f>IF(N68&gt;1,"group","individual")</f>
        <v>individual</v>
      </c>
      <c r="J68" s="24"/>
      <c r="K68" s="20">
        <v>1</v>
      </c>
      <c r="L68" s="21"/>
      <c r="M68" s="21"/>
      <c r="N68" s="19">
        <f>SUM(J68:K68)</f>
        <v>1</v>
      </c>
      <c r="O68" s="19">
        <f>SUM(L68:M68)</f>
        <v>0</v>
      </c>
      <c r="P68" s="22" t="s">
        <v>30</v>
      </c>
      <c r="Q68" s="23" t="s">
        <v>103</v>
      </c>
    </row>
    <row r="69" spans="1:17" ht="15.75" customHeight="1">
      <c r="A69" s="120" t="s">
        <v>25</v>
      </c>
      <c r="B69" s="120" t="s">
        <v>26</v>
      </c>
      <c r="C69" s="31" t="s">
        <v>7</v>
      </c>
      <c r="D69" s="87" t="s">
        <v>27</v>
      </c>
      <c r="E69" s="87" t="s">
        <v>107</v>
      </c>
      <c r="F69" s="87" t="s">
        <v>37</v>
      </c>
      <c r="G69" s="33">
        <v>65000</v>
      </c>
      <c r="H69" s="34" t="s">
        <v>108</v>
      </c>
      <c r="I69" s="19" t="str">
        <f>IF(N69&gt;1,"group","individual")</f>
        <v>individual</v>
      </c>
      <c r="J69" s="35"/>
      <c r="K69" s="35"/>
      <c r="L69" s="36">
        <v>1</v>
      </c>
      <c r="M69" s="120"/>
      <c r="N69" s="19">
        <f>SUM(J69:K69)</f>
        <v>0</v>
      </c>
      <c r="O69" s="19">
        <f>SUM(L69:M69)</f>
        <v>1</v>
      </c>
      <c r="P69" s="38" t="s">
        <v>30</v>
      </c>
      <c r="Q69" s="39" t="s">
        <v>109</v>
      </c>
    </row>
    <row r="70" spans="1:17" ht="15.75" customHeight="1">
      <c r="A70" s="13" t="s">
        <v>25</v>
      </c>
      <c r="B70" s="13" t="s">
        <v>26</v>
      </c>
      <c r="C70" s="14" t="s">
        <v>7</v>
      </c>
      <c r="D70" s="15" t="s">
        <v>27</v>
      </c>
      <c r="E70" s="15" t="s">
        <v>110</v>
      </c>
      <c r="F70" s="15" t="s">
        <v>83</v>
      </c>
      <c r="G70" s="17">
        <v>120000</v>
      </c>
      <c r="H70" s="150" t="s">
        <v>111</v>
      </c>
      <c r="I70" s="19" t="str">
        <f>IF(N70&gt;1,"group","individual")</f>
        <v>individual</v>
      </c>
      <c r="J70" s="150">
        <v>1</v>
      </c>
      <c r="K70" s="47"/>
      <c r="L70" s="21"/>
      <c r="M70" s="21"/>
      <c r="N70" s="19">
        <f>SUM(J70:K70)</f>
        <v>1</v>
      </c>
      <c r="O70" s="19">
        <f>SUM(L70:M70)</f>
        <v>0</v>
      </c>
      <c r="P70" s="22" t="s">
        <v>30</v>
      </c>
      <c r="Q70" s="23" t="s">
        <v>112</v>
      </c>
    </row>
    <row r="71" spans="1:17" ht="15.75" customHeight="1">
      <c r="A71" s="13" t="s">
        <v>25</v>
      </c>
      <c r="B71" s="13" t="s">
        <v>26</v>
      </c>
      <c r="C71" s="14" t="s">
        <v>7</v>
      </c>
      <c r="D71" s="15" t="s">
        <v>27</v>
      </c>
      <c r="E71" s="15" t="s">
        <v>113</v>
      </c>
      <c r="F71" s="15" t="s">
        <v>114</v>
      </c>
      <c r="G71" s="17">
        <v>225000</v>
      </c>
      <c r="H71" s="150" t="s">
        <v>115</v>
      </c>
      <c r="I71" s="19" t="str">
        <f>IF(N71&gt;1,"group","individual")</f>
        <v>group</v>
      </c>
      <c r="J71" s="150">
        <v>1</v>
      </c>
      <c r="K71" s="20">
        <v>3</v>
      </c>
      <c r="L71" s="21"/>
      <c r="M71" s="21"/>
      <c r="N71" s="19">
        <f>SUM(J71:K71)</f>
        <v>4</v>
      </c>
      <c r="O71" s="19">
        <f>SUM(L71:M71)</f>
        <v>0</v>
      </c>
      <c r="P71" s="40"/>
      <c r="Q71" s="41"/>
    </row>
    <row r="72" spans="1:17" ht="15.75" customHeight="1">
      <c r="A72" s="13" t="s">
        <v>25</v>
      </c>
      <c r="B72" s="13" t="s">
        <v>26</v>
      </c>
      <c r="C72" s="14" t="s">
        <v>7</v>
      </c>
      <c r="D72" s="15" t="s">
        <v>116</v>
      </c>
      <c r="E72" s="15" t="s">
        <v>117</v>
      </c>
      <c r="F72" s="15" t="s">
        <v>118</v>
      </c>
      <c r="G72" s="17">
        <v>225000</v>
      </c>
      <c r="H72" s="150" t="s">
        <v>34</v>
      </c>
      <c r="I72" s="19" t="str">
        <f>IF(N72&gt;1,"group","individual")</f>
        <v>group</v>
      </c>
      <c r="J72" s="20">
        <v>3</v>
      </c>
      <c r="K72" s="20">
        <v>2</v>
      </c>
      <c r="L72" s="21"/>
      <c r="M72" s="21"/>
      <c r="N72" s="19">
        <f>SUM(J72:K72)</f>
        <v>5</v>
      </c>
      <c r="O72" s="19">
        <f>SUM(L72:M72)</f>
        <v>0</v>
      </c>
      <c r="P72" s="22" t="s">
        <v>30</v>
      </c>
      <c r="Q72" s="23" t="s">
        <v>35</v>
      </c>
    </row>
    <row r="73" spans="1:17" ht="15.75" customHeight="1">
      <c r="A73" s="13" t="s">
        <v>25</v>
      </c>
      <c r="B73" s="13" t="s">
        <v>26</v>
      </c>
      <c r="C73" s="14" t="s">
        <v>7</v>
      </c>
      <c r="D73" s="15" t="s">
        <v>116</v>
      </c>
      <c r="E73" s="15" t="s">
        <v>119</v>
      </c>
      <c r="F73" s="15" t="s">
        <v>120</v>
      </c>
      <c r="G73" s="17">
        <v>225000</v>
      </c>
      <c r="H73" s="42">
        <v>45720</v>
      </c>
      <c r="I73" s="19" t="str">
        <f>IF(N73&gt;1,"group","individual")</f>
        <v>group</v>
      </c>
      <c r="J73" s="24"/>
      <c r="K73" s="20">
        <v>5</v>
      </c>
      <c r="L73" s="21"/>
      <c r="M73" s="21"/>
      <c r="N73" s="19">
        <f>SUM(J73:K73)</f>
        <v>5</v>
      </c>
      <c r="O73" s="19">
        <f>SUM(L73:M73)</f>
        <v>0</v>
      </c>
      <c r="P73" s="22" t="s">
        <v>30</v>
      </c>
      <c r="Q73" s="23" t="s">
        <v>121</v>
      </c>
    </row>
    <row r="74" spans="1:17" ht="15.75" customHeight="1">
      <c r="A74" s="13" t="s">
        <v>25</v>
      </c>
      <c r="B74" s="13" t="s">
        <v>26</v>
      </c>
      <c r="C74" s="14" t="s">
        <v>7</v>
      </c>
      <c r="D74" s="15" t="s">
        <v>116</v>
      </c>
      <c r="E74" s="15" t="s">
        <v>122</v>
      </c>
      <c r="F74" s="15" t="s">
        <v>29</v>
      </c>
      <c r="G74" s="17">
        <v>225000</v>
      </c>
      <c r="H74" s="150" t="s">
        <v>123</v>
      </c>
      <c r="I74" s="19" t="str">
        <f>IF(N74&gt;1,"group","individual")</f>
        <v>group</v>
      </c>
      <c r="J74" s="150">
        <v>1</v>
      </c>
      <c r="K74" s="20">
        <v>4</v>
      </c>
      <c r="L74" s="21"/>
      <c r="M74" s="21"/>
      <c r="N74" s="19">
        <f>SUM(J74:K74)</f>
        <v>5</v>
      </c>
      <c r="O74" s="19">
        <f>SUM(L74:M74)</f>
        <v>0</v>
      </c>
      <c r="P74" s="22"/>
      <c r="Q74" s="23" t="s">
        <v>124</v>
      </c>
    </row>
    <row r="75" spans="1:17" ht="15.75" customHeight="1">
      <c r="A75" s="13" t="s">
        <v>25</v>
      </c>
      <c r="B75" s="13" t="s">
        <v>26</v>
      </c>
      <c r="C75" s="14" t="s">
        <v>7</v>
      </c>
      <c r="D75" s="15" t="s">
        <v>116</v>
      </c>
      <c r="E75" s="15" t="s">
        <v>125</v>
      </c>
      <c r="F75" s="15" t="s">
        <v>126</v>
      </c>
      <c r="G75" s="17">
        <v>75000</v>
      </c>
      <c r="H75" s="43">
        <v>45986</v>
      </c>
      <c r="I75" s="19" t="str">
        <f>IF(N75&gt;1,"group","individual")</f>
        <v>individual</v>
      </c>
      <c r="J75" s="24"/>
      <c r="K75" s="20">
        <v>1</v>
      </c>
      <c r="L75" s="21"/>
      <c r="M75" s="21"/>
      <c r="N75" s="19">
        <f>SUM(J75:K75)</f>
        <v>1</v>
      </c>
      <c r="O75" s="19">
        <f>SUM(L75:M75)</f>
        <v>0</v>
      </c>
      <c r="P75" s="22" t="s">
        <v>30</v>
      </c>
      <c r="Q75" s="23" t="s">
        <v>127</v>
      </c>
    </row>
    <row r="76" spans="1:17" ht="15.75" customHeight="1">
      <c r="A76" s="13" t="s">
        <v>25</v>
      </c>
      <c r="B76" s="13" t="s">
        <v>26</v>
      </c>
      <c r="C76" s="14" t="s">
        <v>7</v>
      </c>
      <c r="D76" s="15" t="s">
        <v>116</v>
      </c>
      <c r="E76" s="15" t="s">
        <v>128</v>
      </c>
      <c r="F76" s="15" t="s">
        <v>37</v>
      </c>
      <c r="G76" s="17">
        <v>225000</v>
      </c>
      <c r="H76" s="25">
        <v>45812</v>
      </c>
      <c r="I76" s="19" t="str">
        <f>IF(N76&gt;1,"group","individual")</f>
        <v>group</v>
      </c>
      <c r="J76" s="20">
        <v>2</v>
      </c>
      <c r="K76" s="20">
        <v>3</v>
      </c>
      <c r="L76" s="21"/>
      <c r="M76" s="21"/>
      <c r="N76" s="19">
        <f>SUM(J76:K76)</f>
        <v>5</v>
      </c>
      <c r="O76" s="19">
        <f>SUM(L76:M76)</f>
        <v>0</v>
      </c>
      <c r="P76" s="22" t="s">
        <v>30</v>
      </c>
      <c r="Q76" s="23" t="s">
        <v>49</v>
      </c>
    </row>
    <row r="77" spans="1:17" ht="15.75" customHeight="1">
      <c r="A77" s="13" t="s">
        <v>25</v>
      </c>
      <c r="B77" s="13" t="s">
        <v>26</v>
      </c>
      <c r="C77" s="14" t="s">
        <v>7</v>
      </c>
      <c r="D77" s="15" t="s">
        <v>116</v>
      </c>
      <c r="E77" s="15" t="s">
        <v>129</v>
      </c>
      <c r="F77" s="15" t="s">
        <v>37</v>
      </c>
      <c r="G77" s="17">
        <v>225000</v>
      </c>
      <c r="H77" s="18">
        <v>45820</v>
      </c>
      <c r="I77" s="19" t="str">
        <f>IF(N77&gt;1,"group","individual")</f>
        <v>group</v>
      </c>
      <c r="J77" s="150">
        <v>3</v>
      </c>
      <c r="K77" s="47"/>
      <c r="L77" s="21"/>
      <c r="M77" s="21"/>
      <c r="N77" s="19">
        <f>SUM(J77:K77)</f>
        <v>3</v>
      </c>
      <c r="O77" s="19">
        <f>SUM(L77:M77)</f>
        <v>0</v>
      </c>
      <c r="P77" s="22" t="s">
        <v>30</v>
      </c>
      <c r="Q77" s="23" t="s">
        <v>130</v>
      </c>
    </row>
    <row r="78" spans="1:17" ht="15.75" customHeight="1">
      <c r="A78" s="13" t="s">
        <v>25</v>
      </c>
      <c r="B78" s="13" t="s">
        <v>26</v>
      </c>
      <c r="C78" s="14" t="s">
        <v>7</v>
      </c>
      <c r="D78" s="15" t="s">
        <v>116</v>
      </c>
      <c r="E78" s="15" t="s">
        <v>131</v>
      </c>
      <c r="F78" s="15" t="s">
        <v>132</v>
      </c>
      <c r="G78" s="17">
        <v>150000</v>
      </c>
      <c r="H78" s="26">
        <v>45827</v>
      </c>
      <c r="I78" s="19" t="str">
        <f>IF(N78&gt;1,"group","individual")</f>
        <v>group</v>
      </c>
      <c r="J78" s="20">
        <v>3</v>
      </c>
      <c r="K78" s="24"/>
      <c r="L78" s="21"/>
      <c r="M78" s="21"/>
      <c r="N78" s="19">
        <f>SUM(J78:K78)</f>
        <v>3</v>
      </c>
      <c r="O78" s="19">
        <f>SUM(L78:M78)</f>
        <v>0</v>
      </c>
      <c r="P78" s="22" t="s">
        <v>30</v>
      </c>
      <c r="Q78" s="23" t="s">
        <v>61</v>
      </c>
    </row>
    <row r="79" spans="1:17" ht="15.75" customHeight="1">
      <c r="A79" s="13" t="s">
        <v>25</v>
      </c>
      <c r="B79" s="13" t="s">
        <v>26</v>
      </c>
      <c r="C79" s="14" t="s">
        <v>7</v>
      </c>
      <c r="D79" s="15" t="s">
        <v>116</v>
      </c>
      <c r="E79" s="15" t="s">
        <v>133</v>
      </c>
      <c r="F79" s="15" t="s">
        <v>134</v>
      </c>
      <c r="G79" s="17">
        <v>225000</v>
      </c>
      <c r="H79" s="26">
        <v>45827</v>
      </c>
      <c r="I79" s="19" t="str">
        <f>IF(N79&gt;1,"group","individual")</f>
        <v>group</v>
      </c>
      <c r="J79" s="20">
        <v>1</v>
      </c>
      <c r="K79" s="150">
        <v>4</v>
      </c>
      <c r="L79" s="21"/>
      <c r="M79" s="21"/>
      <c r="N79" s="19">
        <f>SUM(J79:K79)</f>
        <v>5</v>
      </c>
      <c r="O79" s="19">
        <f>SUM(L79:M79)</f>
        <v>0</v>
      </c>
      <c r="P79" s="22" t="s">
        <v>30</v>
      </c>
      <c r="Q79" s="23" t="s">
        <v>61</v>
      </c>
    </row>
    <row r="80" spans="1:17" ht="15.75" customHeight="1">
      <c r="A80" s="13" t="s">
        <v>25</v>
      </c>
      <c r="B80" s="13" t="s">
        <v>26</v>
      </c>
      <c r="C80" s="14" t="s">
        <v>7</v>
      </c>
      <c r="D80" s="15" t="s">
        <v>116</v>
      </c>
      <c r="E80" s="15" t="s">
        <v>135</v>
      </c>
      <c r="F80" s="15" t="s">
        <v>136</v>
      </c>
      <c r="G80" s="17">
        <v>200000</v>
      </c>
      <c r="H80" s="150" t="s">
        <v>49</v>
      </c>
      <c r="I80" s="19" t="str">
        <f>IF(N80&gt;1,"group","individual")</f>
        <v>individual</v>
      </c>
      <c r="J80" s="24"/>
      <c r="K80" s="20">
        <v>1</v>
      </c>
      <c r="L80" s="21"/>
      <c r="M80" s="21"/>
      <c r="N80" s="19">
        <f>SUM(J80:K80)</f>
        <v>1</v>
      </c>
      <c r="O80" s="19">
        <f>SUM(L80:M80)</f>
        <v>0</v>
      </c>
      <c r="P80" s="22" t="s">
        <v>30</v>
      </c>
      <c r="Q80" s="23" t="s">
        <v>103</v>
      </c>
    </row>
    <row r="81" spans="1:17" ht="15.75" customHeight="1">
      <c r="A81" s="120" t="s">
        <v>25</v>
      </c>
      <c r="B81" s="120" t="s">
        <v>26</v>
      </c>
      <c r="C81" s="31" t="s">
        <v>7</v>
      </c>
      <c r="D81" s="87" t="s">
        <v>116</v>
      </c>
      <c r="E81" s="15" t="s">
        <v>137</v>
      </c>
      <c r="F81" s="87" t="s">
        <v>76</v>
      </c>
      <c r="G81" s="33">
        <v>75000</v>
      </c>
      <c r="H81" s="34" t="s">
        <v>138</v>
      </c>
      <c r="I81" s="19" t="str">
        <f>IF(N81&gt;1,"group","individual")</f>
        <v>individual</v>
      </c>
      <c r="J81" s="34">
        <v>1</v>
      </c>
      <c r="K81" s="35"/>
      <c r="L81" s="120"/>
      <c r="M81" s="120"/>
      <c r="N81" s="19">
        <f>SUM(J81:K81)</f>
        <v>1</v>
      </c>
      <c r="O81" s="19">
        <f>SUM(L81:M81)</f>
        <v>0</v>
      </c>
      <c r="P81" s="38" t="s">
        <v>30</v>
      </c>
      <c r="Q81" s="39" t="s">
        <v>139</v>
      </c>
    </row>
    <row r="82" spans="1:17" ht="15.75" customHeight="1">
      <c r="A82" s="120" t="s">
        <v>25</v>
      </c>
      <c r="B82" s="120" t="s">
        <v>26</v>
      </c>
      <c r="C82" s="31" t="s">
        <v>7</v>
      </c>
      <c r="D82" s="87" t="s">
        <v>116</v>
      </c>
      <c r="E82" s="15" t="s">
        <v>140</v>
      </c>
      <c r="F82" s="87" t="s">
        <v>141</v>
      </c>
      <c r="G82" s="33">
        <v>150000</v>
      </c>
      <c r="H82" s="34" t="s">
        <v>138</v>
      </c>
      <c r="I82" s="19" t="str">
        <f>IF(N82&gt;1,"group","individual")</f>
        <v>group</v>
      </c>
      <c r="J82" s="34">
        <v>1</v>
      </c>
      <c r="K82" s="34">
        <v>1</v>
      </c>
      <c r="L82" s="120"/>
      <c r="M82" s="120"/>
      <c r="N82" s="19">
        <f>SUM(J82:K82)</f>
        <v>2</v>
      </c>
      <c r="O82" s="19">
        <f>SUM(L82:M82)</f>
        <v>0</v>
      </c>
      <c r="P82" s="38" t="s">
        <v>30</v>
      </c>
      <c r="Q82" s="39" t="s">
        <v>109</v>
      </c>
    </row>
    <row r="83" spans="1:17" ht="15.75" customHeight="1">
      <c r="A83" s="120" t="s">
        <v>25</v>
      </c>
      <c r="B83" s="120" t="s">
        <v>26</v>
      </c>
      <c r="C83" s="31" t="s">
        <v>7</v>
      </c>
      <c r="D83" s="87" t="s">
        <v>116</v>
      </c>
      <c r="E83" s="15" t="s">
        <v>142</v>
      </c>
      <c r="F83" s="87" t="s">
        <v>141</v>
      </c>
      <c r="G83" s="33">
        <v>75000</v>
      </c>
      <c r="H83" s="34" t="s">
        <v>111</v>
      </c>
      <c r="I83" s="19" t="str">
        <f>IF(N83&gt;1,"group","individual")</f>
        <v>individual</v>
      </c>
      <c r="J83" s="35"/>
      <c r="K83" s="34">
        <v>1</v>
      </c>
      <c r="L83" s="120"/>
      <c r="M83" s="120"/>
      <c r="N83" s="19">
        <f>SUM(J83:K83)</f>
        <v>1</v>
      </c>
      <c r="O83" s="19">
        <f>SUM(L83:M83)</f>
        <v>0</v>
      </c>
      <c r="P83" s="38" t="s">
        <v>30</v>
      </c>
      <c r="Q83" s="39" t="s">
        <v>112</v>
      </c>
    </row>
    <row r="84" spans="1:17" ht="15.75" customHeight="1">
      <c r="A84" s="13" t="s">
        <v>25</v>
      </c>
      <c r="B84" s="13" t="s">
        <v>26</v>
      </c>
      <c r="C84" s="14" t="s">
        <v>7</v>
      </c>
      <c r="D84" s="15" t="s">
        <v>116</v>
      </c>
      <c r="E84" s="15" t="s">
        <v>143</v>
      </c>
      <c r="F84" s="15" t="s">
        <v>76</v>
      </c>
      <c r="G84" s="17">
        <v>75000</v>
      </c>
      <c r="H84" s="20" t="s">
        <v>111</v>
      </c>
      <c r="I84" s="19" t="str">
        <f>IF(N84&gt;1,"group","individual")</f>
        <v>individual</v>
      </c>
      <c r="J84" s="150">
        <v>1</v>
      </c>
      <c r="K84" s="47"/>
      <c r="L84" s="21"/>
      <c r="M84" s="21"/>
      <c r="N84" s="19">
        <f>SUM(J84:K84)</f>
        <v>1</v>
      </c>
      <c r="O84" s="19">
        <f>SUM(L84:M84)</f>
        <v>0</v>
      </c>
      <c r="P84" s="22" t="s">
        <v>30</v>
      </c>
      <c r="Q84" s="23" t="s">
        <v>112</v>
      </c>
    </row>
    <row r="85" spans="1:17" ht="15.75" customHeight="1">
      <c r="A85" s="118" t="s">
        <v>25</v>
      </c>
      <c r="B85" s="118" t="s">
        <v>26</v>
      </c>
      <c r="C85" s="45" t="s">
        <v>7</v>
      </c>
      <c r="D85" s="70" t="s">
        <v>116</v>
      </c>
      <c r="E85" s="70" t="s">
        <v>144</v>
      </c>
      <c r="F85" s="70" t="s">
        <v>37</v>
      </c>
      <c r="G85" s="17">
        <v>75000</v>
      </c>
      <c r="H85" s="25">
        <v>45812</v>
      </c>
      <c r="I85" s="19" t="str">
        <f>IF(N85&gt;1,"group","individual")</f>
        <v>individual</v>
      </c>
      <c r="J85" s="150">
        <v>1</v>
      </c>
      <c r="K85" s="47"/>
      <c r="L85" s="118"/>
      <c r="M85" s="118"/>
      <c r="N85" s="19">
        <f>SUM(J85:K85)</f>
        <v>1</v>
      </c>
      <c r="O85" s="19">
        <f>SUM(L85:M85)</f>
        <v>0</v>
      </c>
      <c r="P85" s="40" t="s">
        <v>30</v>
      </c>
      <c r="Q85" s="41" t="s">
        <v>49</v>
      </c>
    </row>
    <row r="86" spans="1:17" ht="15.75" customHeight="1">
      <c r="A86" s="118" t="s">
        <v>25</v>
      </c>
      <c r="B86" s="118" t="s">
        <v>26</v>
      </c>
      <c r="C86" s="45" t="s">
        <v>7</v>
      </c>
      <c r="D86" s="70" t="s">
        <v>116</v>
      </c>
      <c r="E86" s="70" t="s">
        <v>145</v>
      </c>
      <c r="F86" s="70" t="s">
        <v>54</v>
      </c>
      <c r="G86" s="17">
        <v>200000</v>
      </c>
      <c r="H86" s="150" t="s">
        <v>146</v>
      </c>
      <c r="I86" s="19" t="str">
        <f>IF(N86&gt;1,"group","individual")</f>
        <v>individual</v>
      </c>
      <c r="J86" s="47"/>
      <c r="K86" s="150">
        <v>1</v>
      </c>
      <c r="L86" s="118"/>
      <c r="M86" s="118"/>
      <c r="N86" s="19">
        <f>SUM(J86:K86)</f>
        <v>1</v>
      </c>
      <c r="O86" s="19">
        <f>SUM(L86:M86)</f>
        <v>0</v>
      </c>
      <c r="P86" s="40" t="s">
        <v>30</v>
      </c>
      <c r="Q86" s="41" t="s">
        <v>147</v>
      </c>
    </row>
    <row r="87" spans="1:17" ht="15.75" customHeight="1">
      <c r="A87" s="118" t="s">
        <v>25</v>
      </c>
      <c r="B87" s="118" t="s">
        <v>26</v>
      </c>
      <c r="C87" s="45" t="s">
        <v>7</v>
      </c>
      <c r="D87" s="70" t="s">
        <v>116</v>
      </c>
      <c r="E87" s="70" t="s">
        <v>148</v>
      </c>
      <c r="F87" s="70" t="s">
        <v>149</v>
      </c>
      <c r="G87" s="17">
        <v>75000</v>
      </c>
      <c r="H87" s="150" t="s">
        <v>111</v>
      </c>
      <c r="I87" s="19" t="str">
        <f>IF(N87&gt;1,"group","individual")</f>
        <v>individual</v>
      </c>
      <c r="J87" s="47"/>
      <c r="K87" s="150">
        <v>1</v>
      </c>
      <c r="L87" s="118"/>
      <c r="M87" s="118"/>
      <c r="N87" s="19">
        <f>SUM(J87:K87)</f>
        <v>1</v>
      </c>
      <c r="O87" s="19">
        <f>SUM(L87:M87)</f>
        <v>0</v>
      </c>
      <c r="P87" s="40" t="s">
        <v>30</v>
      </c>
      <c r="Q87" s="41" t="s">
        <v>139</v>
      </c>
    </row>
    <row r="88" spans="1:17" ht="15.75" customHeight="1">
      <c r="A88" s="118" t="s">
        <v>25</v>
      </c>
      <c r="B88" s="118" t="s">
        <v>26</v>
      </c>
      <c r="C88" s="45" t="s">
        <v>7</v>
      </c>
      <c r="D88" s="70" t="s">
        <v>116</v>
      </c>
      <c r="E88" s="70" t="s">
        <v>150</v>
      </c>
      <c r="F88" s="70" t="s">
        <v>29</v>
      </c>
      <c r="G88" s="17">
        <v>225000</v>
      </c>
      <c r="H88" s="150" t="s">
        <v>146</v>
      </c>
      <c r="I88" s="19" t="str">
        <f>IF(N88&gt;1,"group","individual")</f>
        <v>group</v>
      </c>
      <c r="J88" s="150">
        <v>2</v>
      </c>
      <c r="K88" s="150">
        <v>3</v>
      </c>
      <c r="L88" s="118"/>
      <c r="M88" s="118"/>
      <c r="N88" s="19">
        <f>SUM(J88:K88)</f>
        <v>5</v>
      </c>
      <c r="O88" s="19">
        <f>SUM(L88:M88)</f>
        <v>0</v>
      </c>
      <c r="P88" s="40" t="s">
        <v>30</v>
      </c>
      <c r="Q88" s="41" t="s">
        <v>147</v>
      </c>
    </row>
    <row r="89" spans="1:17" ht="15.75" customHeight="1">
      <c r="A89" s="118" t="s">
        <v>25</v>
      </c>
      <c r="B89" s="118" t="s">
        <v>26</v>
      </c>
      <c r="C89" s="45" t="s">
        <v>7</v>
      </c>
      <c r="D89" s="70" t="s">
        <v>116</v>
      </c>
      <c r="E89" s="70" t="s">
        <v>151</v>
      </c>
      <c r="F89" s="70" t="s">
        <v>37</v>
      </c>
      <c r="G89" s="17">
        <v>150000</v>
      </c>
      <c r="H89" s="46">
        <v>45920</v>
      </c>
      <c r="I89" s="19" t="str">
        <f>IF(N89&gt;1,"group","individual")</f>
        <v>group</v>
      </c>
      <c r="J89" s="47"/>
      <c r="K89" s="150">
        <v>2</v>
      </c>
      <c r="L89" s="118"/>
      <c r="M89" s="118"/>
      <c r="N89" s="19">
        <f>SUM(J89:K89)</f>
        <v>2</v>
      </c>
      <c r="O89" s="19"/>
      <c r="P89" s="40"/>
      <c r="Q89" s="41"/>
    </row>
    <row r="90" spans="1:17" ht="15.75" customHeight="1">
      <c r="A90" s="128" t="s">
        <v>25</v>
      </c>
      <c r="B90" s="128" t="s">
        <v>26</v>
      </c>
      <c r="C90" s="48" t="s">
        <v>7</v>
      </c>
      <c r="D90" s="49" t="s">
        <v>116</v>
      </c>
      <c r="E90" s="49" t="s">
        <v>152</v>
      </c>
      <c r="F90" s="49"/>
      <c r="G90" s="50">
        <v>75000</v>
      </c>
      <c r="H90" s="51">
        <v>45920</v>
      </c>
      <c r="I90" s="19" t="str">
        <f>IF(N90&gt;1,"group","individual")</f>
        <v>individual</v>
      </c>
      <c r="J90" s="52">
        <v>1</v>
      </c>
      <c r="K90" s="53"/>
      <c r="L90" s="128"/>
      <c r="M90" s="128"/>
      <c r="N90" s="19">
        <f>SUM(J90:K90)</f>
        <v>1</v>
      </c>
      <c r="O90" s="19">
        <f>SUM(L90:M90)</f>
        <v>0</v>
      </c>
      <c r="P90" s="22" t="s">
        <v>30</v>
      </c>
      <c r="Q90" s="23" t="s">
        <v>153</v>
      </c>
    </row>
    <row r="91" spans="1:17" ht="15.75" customHeight="1">
      <c r="A91" s="13" t="s">
        <v>25</v>
      </c>
      <c r="B91" s="13" t="s">
        <v>26</v>
      </c>
      <c r="C91" s="14" t="s">
        <v>7</v>
      </c>
      <c r="D91" s="15" t="s">
        <v>154</v>
      </c>
      <c r="E91" s="15" t="s">
        <v>155</v>
      </c>
      <c r="F91" s="15" t="s">
        <v>120</v>
      </c>
      <c r="G91" s="17">
        <v>225000</v>
      </c>
      <c r="H91" s="54">
        <v>45761</v>
      </c>
      <c r="I91" s="19" t="str">
        <f>IF(N91&gt;1,"group","individual")</f>
        <v>group</v>
      </c>
      <c r="J91" s="150">
        <v>2</v>
      </c>
      <c r="K91" s="20">
        <v>3</v>
      </c>
      <c r="L91" s="21"/>
      <c r="M91" s="21"/>
      <c r="N91" s="19">
        <f>SUM(J91:K91)</f>
        <v>5</v>
      </c>
      <c r="O91" s="19">
        <f>SUM(L91:M91)</f>
        <v>0</v>
      </c>
      <c r="P91" s="22" t="s">
        <v>30</v>
      </c>
      <c r="Q91" s="23" t="s">
        <v>156</v>
      </c>
    </row>
    <row r="92" spans="1:17" ht="15.75" customHeight="1">
      <c r="A92" s="13" t="s">
        <v>25</v>
      </c>
      <c r="B92" s="13" t="s">
        <v>26</v>
      </c>
      <c r="C92" s="14" t="s">
        <v>7</v>
      </c>
      <c r="D92" s="15" t="s">
        <v>154</v>
      </c>
      <c r="E92" s="15" t="s">
        <v>157</v>
      </c>
      <c r="F92" s="15" t="s">
        <v>37</v>
      </c>
      <c r="G92" s="17">
        <v>225000</v>
      </c>
      <c r="H92" s="54">
        <v>45772</v>
      </c>
      <c r="I92" s="19" t="str">
        <f>IF(N92&gt;1,"group","individual")</f>
        <v>group</v>
      </c>
      <c r="J92" s="150">
        <v>2</v>
      </c>
      <c r="K92" s="20">
        <v>3</v>
      </c>
      <c r="L92" s="21"/>
      <c r="M92" s="21"/>
      <c r="N92" s="19">
        <f>SUM(J92:K92)</f>
        <v>5</v>
      </c>
      <c r="O92" s="19">
        <f>SUM(L92:M92)</f>
        <v>0</v>
      </c>
      <c r="P92" s="22" t="s">
        <v>30</v>
      </c>
      <c r="Q92" s="23" t="s">
        <v>158</v>
      </c>
    </row>
    <row r="93" spans="1:17" ht="15.75" customHeight="1">
      <c r="A93" s="13" t="s">
        <v>25</v>
      </c>
      <c r="B93" s="13" t="s">
        <v>26</v>
      </c>
      <c r="C93" s="14" t="s">
        <v>7</v>
      </c>
      <c r="D93" s="15" t="s">
        <v>154</v>
      </c>
      <c r="E93" s="15" t="s">
        <v>159</v>
      </c>
      <c r="F93" s="15" t="s">
        <v>160</v>
      </c>
      <c r="G93" s="17">
        <v>225000</v>
      </c>
      <c r="H93" s="43">
        <v>45680</v>
      </c>
      <c r="I93" s="19" t="str">
        <f>IF(N93&gt;1,"group","individual")</f>
        <v>group</v>
      </c>
      <c r="J93" s="150">
        <v>2</v>
      </c>
      <c r="K93" s="20">
        <v>3</v>
      </c>
      <c r="L93" s="21"/>
      <c r="M93" s="21"/>
      <c r="N93" s="19">
        <f>SUM(J93:K93)</f>
        <v>5</v>
      </c>
      <c r="O93" s="19">
        <f>SUM(L93:M93)</f>
        <v>0</v>
      </c>
      <c r="P93" s="22" t="s">
        <v>30</v>
      </c>
      <c r="Q93" s="23" t="s">
        <v>49</v>
      </c>
    </row>
    <row r="94" spans="1:17" ht="15.75" customHeight="1">
      <c r="A94" s="13" t="s">
        <v>25</v>
      </c>
      <c r="B94" s="13" t="s">
        <v>26</v>
      </c>
      <c r="C94" s="14" t="s">
        <v>7</v>
      </c>
      <c r="D94" s="15" t="s">
        <v>154</v>
      </c>
      <c r="E94" s="15" t="s">
        <v>161</v>
      </c>
      <c r="F94" s="15" t="s">
        <v>29</v>
      </c>
      <c r="G94" s="17">
        <v>225000</v>
      </c>
      <c r="H94" s="54">
        <v>45812</v>
      </c>
      <c r="I94" s="19" t="str">
        <f>IF(N94&gt;1,"group","individual")</f>
        <v>group</v>
      </c>
      <c r="J94" s="150">
        <v>2</v>
      </c>
      <c r="K94" s="20">
        <v>2</v>
      </c>
      <c r="L94" s="21"/>
      <c r="M94" s="21"/>
      <c r="N94" s="19">
        <f>SUM(J94:K94)</f>
        <v>4</v>
      </c>
      <c r="O94" s="19">
        <f>SUM(L94:M94)</f>
        <v>0</v>
      </c>
      <c r="P94" s="22" t="s">
        <v>30</v>
      </c>
      <c r="Q94" s="23" t="s">
        <v>162</v>
      </c>
    </row>
    <row r="95" spans="1:17" ht="15.75" customHeight="1">
      <c r="A95" s="13" t="s">
        <v>25</v>
      </c>
      <c r="B95" s="13" t="s">
        <v>26</v>
      </c>
      <c r="C95" s="14" t="s">
        <v>7</v>
      </c>
      <c r="D95" s="15" t="s">
        <v>154</v>
      </c>
      <c r="E95" s="15" t="s">
        <v>163</v>
      </c>
      <c r="F95" s="15" t="s">
        <v>37</v>
      </c>
      <c r="G95" s="17">
        <v>225000</v>
      </c>
      <c r="H95" s="55">
        <v>45632</v>
      </c>
      <c r="I95" s="19" t="str">
        <f>IF(N95&gt;1,"group","individual")</f>
        <v>group</v>
      </c>
      <c r="J95" s="150">
        <v>1</v>
      </c>
      <c r="K95" s="20">
        <v>4</v>
      </c>
      <c r="L95" s="21"/>
      <c r="M95" s="21"/>
      <c r="N95" s="19">
        <f>SUM(J95:K95)</f>
        <v>5</v>
      </c>
      <c r="O95" s="19">
        <f>SUM(L95:M95)</f>
        <v>0</v>
      </c>
      <c r="P95" s="22" t="s">
        <v>30</v>
      </c>
      <c r="Q95" s="23" t="s">
        <v>49</v>
      </c>
    </row>
    <row r="96" spans="1:17" ht="15.75" customHeight="1">
      <c r="A96" s="13" t="s">
        <v>25</v>
      </c>
      <c r="B96" s="13" t="s">
        <v>26</v>
      </c>
      <c r="C96" s="14" t="s">
        <v>7</v>
      </c>
      <c r="D96" s="15" t="s">
        <v>154</v>
      </c>
      <c r="E96" s="15" t="s">
        <v>164</v>
      </c>
      <c r="F96" s="15" t="s">
        <v>37</v>
      </c>
      <c r="G96" s="17">
        <v>225000</v>
      </c>
      <c r="H96" s="25">
        <v>45812</v>
      </c>
      <c r="I96" s="19" t="str">
        <f>IF(N96&gt;1,"group","individual")</f>
        <v>group</v>
      </c>
      <c r="J96" s="20">
        <v>1</v>
      </c>
      <c r="K96" s="150">
        <v>4</v>
      </c>
      <c r="L96" s="21"/>
      <c r="M96" s="21"/>
      <c r="N96" s="19">
        <f>SUM(J96:K96)</f>
        <v>5</v>
      </c>
      <c r="O96" s="19">
        <f>SUM(L96:M96)</f>
        <v>0</v>
      </c>
      <c r="P96" s="22" t="s">
        <v>30</v>
      </c>
      <c r="Q96" s="23" t="s">
        <v>165</v>
      </c>
    </row>
    <row r="97" spans="1:17" ht="15.75" customHeight="1">
      <c r="A97" s="13" t="s">
        <v>25</v>
      </c>
      <c r="B97" s="13" t="s">
        <v>26</v>
      </c>
      <c r="C97" s="14" t="s">
        <v>7</v>
      </c>
      <c r="D97" s="15" t="s">
        <v>154</v>
      </c>
      <c r="E97" s="15" t="s">
        <v>166</v>
      </c>
      <c r="F97" s="15" t="s">
        <v>167</v>
      </c>
      <c r="G97" s="17">
        <v>75000</v>
      </c>
      <c r="H97" s="18">
        <v>45792</v>
      </c>
      <c r="I97" s="19" t="str">
        <f>IF(N97&gt;1,"group","individual")</f>
        <v>individual</v>
      </c>
      <c r="J97" s="47"/>
      <c r="K97" s="20">
        <v>1</v>
      </c>
      <c r="L97" s="21"/>
      <c r="M97" s="21"/>
      <c r="N97" s="19">
        <f>SUM(J97:K97)</f>
        <v>1</v>
      </c>
      <c r="O97" s="19">
        <f>SUM(L97:M97)</f>
        <v>0</v>
      </c>
      <c r="P97" s="22" t="s">
        <v>30</v>
      </c>
      <c r="Q97" s="23" t="s">
        <v>165</v>
      </c>
    </row>
    <row r="98" spans="1:17" ht="15.75" customHeight="1">
      <c r="A98" s="13" t="s">
        <v>25</v>
      </c>
      <c r="B98" s="13" t="s">
        <v>26</v>
      </c>
      <c r="C98" s="14" t="s">
        <v>7</v>
      </c>
      <c r="D98" s="15" t="s">
        <v>154</v>
      </c>
      <c r="E98" s="15" t="s">
        <v>168</v>
      </c>
      <c r="F98" s="15" t="s">
        <v>169</v>
      </c>
      <c r="G98" s="17">
        <v>75000</v>
      </c>
      <c r="H98" s="18">
        <v>45792</v>
      </c>
      <c r="I98" s="19" t="str">
        <f>IF(N98&gt;1,"group","individual")</f>
        <v>individual</v>
      </c>
      <c r="J98" s="47"/>
      <c r="K98" s="20">
        <v>1</v>
      </c>
      <c r="L98" s="21"/>
      <c r="M98" s="21"/>
      <c r="N98" s="19">
        <f>SUM(J98:K98)</f>
        <v>1</v>
      </c>
      <c r="O98" s="19">
        <f>SUM(L98:M98)</f>
        <v>0</v>
      </c>
      <c r="P98" s="22" t="s">
        <v>30</v>
      </c>
      <c r="Q98" s="23" t="s">
        <v>165</v>
      </c>
    </row>
    <row r="99" spans="1:17" ht="15.75" customHeight="1">
      <c r="A99" s="13" t="s">
        <v>25</v>
      </c>
      <c r="B99" s="13" t="s">
        <v>26</v>
      </c>
      <c r="C99" s="14" t="s">
        <v>7</v>
      </c>
      <c r="D99" s="15" t="s">
        <v>154</v>
      </c>
      <c r="E99" s="15" t="s">
        <v>170</v>
      </c>
      <c r="F99" s="15" t="s">
        <v>37</v>
      </c>
      <c r="G99" s="17">
        <v>225000</v>
      </c>
      <c r="H99" s="56">
        <v>45792</v>
      </c>
      <c r="I99" s="19" t="str">
        <f>IF(N99&gt;1,"group","individual")</f>
        <v>individual</v>
      </c>
      <c r="J99" s="47"/>
      <c r="K99" s="20">
        <v>1</v>
      </c>
      <c r="L99" s="21"/>
      <c r="M99" s="21"/>
      <c r="N99" s="19">
        <f>SUM(J99:K99)</f>
        <v>1</v>
      </c>
      <c r="O99" s="19">
        <f>SUM(L99:M99)</f>
        <v>0</v>
      </c>
      <c r="P99" s="22" t="s">
        <v>30</v>
      </c>
      <c r="Q99" s="23" t="s">
        <v>171</v>
      </c>
    </row>
    <row r="100" spans="1:17" ht="15.75" customHeight="1">
      <c r="A100" s="13" t="s">
        <v>25</v>
      </c>
      <c r="B100" s="13" t="s">
        <v>26</v>
      </c>
      <c r="C100" s="14" t="s">
        <v>7</v>
      </c>
      <c r="D100" s="15" t="s">
        <v>154</v>
      </c>
      <c r="E100" s="15" t="s">
        <v>172</v>
      </c>
      <c r="F100" s="15" t="s">
        <v>37</v>
      </c>
      <c r="G100" s="17">
        <v>225000</v>
      </c>
      <c r="H100" s="56">
        <v>45812</v>
      </c>
      <c r="I100" s="19" t="str">
        <f>IF(N100&gt;1,"group","individual")</f>
        <v>individual</v>
      </c>
      <c r="J100" s="47"/>
      <c r="K100" s="20">
        <v>1</v>
      </c>
      <c r="L100" s="21"/>
      <c r="M100" s="21"/>
      <c r="N100" s="19">
        <f>SUM(J100:K100)</f>
        <v>1</v>
      </c>
      <c r="O100" s="19">
        <f>SUM(L100:M100)</f>
        <v>0</v>
      </c>
      <c r="P100" s="22" t="s">
        <v>30</v>
      </c>
      <c r="Q100" s="23" t="s">
        <v>171</v>
      </c>
    </row>
    <row r="101" spans="1:17" ht="15.75" customHeight="1">
      <c r="A101" s="13" t="s">
        <v>25</v>
      </c>
      <c r="B101" s="13" t="s">
        <v>26</v>
      </c>
      <c r="C101" s="14" t="s">
        <v>7</v>
      </c>
      <c r="D101" s="15" t="s">
        <v>154</v>
      </c>
      <c r="E101" s="15" t="s">
        <v>173</v>
      </c>
      <c r="F101" s="15" t="s">
        <v>174</v>
      </c>
      <c r="G101" s="17">
        <v>75000</v>
      </c>
      <c r="H101" s="56">
        <v>45812</v>
      </c>
      <c r="I101" s="19" t="str">
        <f>IF(N101&gt;1,"group","individual")</f>
        <v>individual</v>
      </c>
      <c r="J101" s="24"/>
      <c r="K101" s="20">
        <v>1</v>
      </c>
      <c r="L101" s="21"/>
      <c r="M101" s="21"/>
      <c r="N101" s="19">
        <f>SUM(J101:K101)</f>
        <v>1</v>
      </c>
      <c r="O101" s="19">
        <f>SUM(L101:M101)</f>
        <v>0</v>
      </c>
      <c r="P101" s="22" t="s">
        <v>30</v>
      </c>
      <c r="Q101" s="23" t="s">
        <v>171</v>
      </c>
    </row>
    <row r="102" spans="1:17" ht="15.75" customHeight="1">
      <c r="A102" s="13" t="s">
        <v>25</v>
      </c>
      <c r="B102" s="13" t="s">
        <v>26</v>
      </c>
      <c r="C102" s="14" t="s">
        <v>7</v>
      </c>
      <c r="D102" s="15" t="s">
        <v>154</v>
      </c>
      <c r="E102" s="15" t="s">
        <v>175</v>
      </c>
      <c r="F102" s="15" t="s">
        <v>176</v>
      </c>
      <c r="G102" s="17">
        <v>150000</v>
      </c>
      <c r="H102" s="56">
        <v>45812</v>
      </c>
      <c r="I102" s="19" t="str">
        <f>IF(N102&gt;1,"group","individual")</f>
        <v>group</v>
      </c>
      <c r="J102" s="20">
        <v>1</v>
      </c>
      <c r="K102" s="20">
        <v>1</v>
      </c>
      <c r="L102" s="118"/>
      <c r="M102" s="118"/>
      <c r="N102" s="19">
        <f>SUM(J102:K102)</f>
        <v>2</v>
      </c>
      <c r="O102" s="19">
        <f>SUM(L102:M102)</f>
        <v>0</v>
      </c>
      <c r="P102" s="22" t="s">
        <v>30</v>
      </c>
      <c r="Q102" s="23" t="s">
        <v>171</v>
      </c>
    </row>
    <row r="103" spans="1:17" ht="15.75" customHeight="1">
      <c r="A103" s="13" t="s">
        <v>25</v>
      </c>
      <c r="B103" s="13" t="s">
        <v>26</v>
      </c>
      <c r="C103" s="14" t="s">
        <v>7</v>
      </c>
      <c r="D103" s="15" t="s">
        <v>154</v>
      </c>
      <c r="E103" s="15" t="s">
        <v>177</v>
      </c>
      <c r="F103" s="15" t="s">
        <v>37</v>
      </c>
      <c r="G103" s="17">
        <v>150000</v>
      </c>
      <c r="H103" s="56">
        <v>45812</v>
      </c>
      <c r="I103" s="19" t="str">
        <f>IF(N103&gt;1,"group","individual")</f>
        <v>individual</v>
      </c>
      <c r="J103" s="47"/>
      <c r="K103" s="20">
        <v>1</v>
      </c>
      <c r="L103" s="21"/>
      <c r="M103" s="21"/>
      <c r="N103" s="19">
        <f>SUM(J103:K103)</f>
        <v>1</v>
      </c>
      <c r="O103" s="19">
        <f>SUM(L103:M103)</f>
        <v>0</v>
      </c>
      <c r="P103" s="22" t="s">
        <v>30</v>
      </c>
      <c r="Q103" s="23" t="s">
        <v>171</v>
      </c>
    </row>
    <row r="104" spans="1:17" ht="15.75" customHeight="1">
      <c r="A104" s="13" t="s">
        <v>25</v>
      </c>
      <c r="B104" s="13" t="s">
        <v>26</v>
      </c>
      <c r="C104" s="14" t="s">
        <v>7</v>
      </c>
      <c r="D104" s="15" t="s">
        <v>154</v>
      </c>
      <c r="E104" s="15" t="s">
        <v>178</v>
      </c>
      <c r="F104" s="15" t="s">
        <v>179</v>
      </c>
      <c r="G104" s="17">
        <v>150000</v>
      </c>
      <c r="H104" s="56">
        <v>45812</v>
      </c>
      <c r="I104" s="19" t="str">
        <f>IF(N104&gt;1,"group","individual")</f>
        <v>individual</v>
      </c>
      <c r="J104" s="24"/>
      <c r="K104" s="20">
        <v>1</v>
      </c>
      <c r="L104" s="21"/>
      <c r="M104" s="21"/>
      <c r="N104" s="19">
        <f>SUM(J104:K104)</f>
        <v>1</v>
      </c>
      <c r="O104" s="19">
        <f>SUM(L104:M104)</f>
        <v>0</v>
      </c>
      <c r="P104" s="22" t="s">
        <v>30</v>
      </c>
      <c r="Q104" s="23" t="s">
        <v>49</v>
      </c>
    </row>
    <row r="105" spans="1:17" ht="15.75" customHeight="1">
      <c r="A105" s="13" t="s">
        <v>25</v>
      </c>
      <c r="B105" s="13" t="s">
        <v>26</v>
      </c>
      <c r="C105" s="14" t="s">
        <v>7</v>
      </c>
      <c r="D105" s="15" t="s">
        <v>154</v>
      </c>
      <c r="E105" s="15" t="s">
        <v>180</v>
      </c>
      <c r="F105" s="15" t="s">
        <v>181</v>
      </c>
      <c r="G105" s="17">
        <v>225000</v>
      </c>
      <c r="H105" s="56">
        <v>45812</v>
      </c>
      <c r="I105" s="19" t="str">
        <f>IF(N105&gt;1,"group","individual")</f>
        <v>individual</v>
      </c>
      <c r="J105" s="47"/>
      <c r="K105" s="20">
        <v>1</v>
      </c>
      <c r="L105" s="21"/>
      <c r="M105" s="21"/>
      <c r="N105" s="19">
        <f>SUM(J105:K105)</f>
        <v>1</v>
      </c>
      <c r="O105" s="19">
        <f>SUM(L105:M105)</f>
        <v>0</v>
      </c>
      <c r="P105" s="22" t="s">
        <v>30</v>
      </c>
      <c r="Q105" s="23" t="s">
        <v>130</v>
      </c>
    </row>
    <row r="106" spans="1:17" ht="15.75" customHeight="1">
      <c r="A106" s="13" t="s">
        <v>25</v>
      </c>
      <c r="B106" s="13" t="s">
        <v>26</v>
      </c>
      <c r="C106" s="14" t="s">
        <v>7</v>
      </c>
      <c r="D106" s="15" t="s">
        <v>154</v>
      </c>
      <c r="E106" s="15" t="s">
        <v>182</v>
      </c>
      <c r="F106" s="15" t="s">
        <v>37</v>
      </c>
      <c r="G106" s="17">
        <v>150000</v>
      </c>
      <c r="H106" s="56">
        <v>45820</v>
      </c>
      <c r="I106" s="19" t="str">
        <f>IF(N106&gt;1,"group","individual")</f>
        <v>group</v>
      </c>
      <c r="J106" s="20">
        <v>1</v>
      </c>
      <c r="K106" s="20">
        <v>1</v>
      </c>
      <c r="L106" s="21"/>
      <c r="M106" s="21"/>
      <c r="N106" s="19">
        <f>SUM(J106:K106)</f>
        <v>2</v>
      </c>
      <c r="O106" s="19">
        <f>SUM(L106:M106)</f>
        <v>0</v>
      </c>
      <c r="P106" s="22" t="s">
        <v>183</v>
      </c>
      <c r="Q106" s="23" t="s">
        <v>184</v>
      </c>
    </row>
    <row r="107" spans="1:17" ht="15.75" customHeight="1">
      <c r="A107" s="13" t="s">
        <v>25</v>
      </c>
      <c r="B107" s="13" t="s">
        <v>26</v>
      </c>
      <c r="C107" s="14" t="s">
        <v>7</v>
      </c>
      <c r="D107" s="15" t="s">
        <v>154</v>
      </c>
      <c r="E107" s="15" t="s">
        <v>185</v>
      </c>
      <c r="F107" s="63" t="s">
        <v>186</v>
      </c>
      <c r="G107" s="17">
        <v>150000</v>
      </c>
      <c r="H107" s="56">
        <v>45827</v>
      </c>
      <c r="I107" s="19" t="str">
        <f>IF(N107&gt;1,"group","individual")</f>
        <v>group</v>
      </c>
      <c r="J107" s="169"/>
      <c r="K107" s="64">
        <v>2</v>
      </c>
      <c r="L107" s="21"/>
      <c r="M107" s="21"/>
      <c r="N107" s="19">
        <f>SUM(J107:K107)</f>
        <v>2</v>
      </c>
      <c r="O107" s="19">
        <f>SUM(L107:M107)</f>
        <v>0</v>
      </c>
      <c r="P107" s="22" t="s">
        <v>30</v>
      </c>
      <c r="Q107" s="23" t="s">
        <v>61</v>
      </c>
    </row>
    <row r="108" spans="1:17" ht="15.75" customHeight="1">
      <c r="A108" s="13" t="s">
        <v>25</v>
      </c>
      <c r="B108" s="13" t="s">
        <v>26</v>
      </c>
      <c r="C108" s="14" t="s">
        <v>7</v>
      </c>
      <c r="D108" s="15" t="s">
        <v>154</v>
      </c>
      <c r="E108" s="15" t="s">
        <v>187</v>
      </c>
      <c r="F108" s="15" t="s">
        <v>37</v>
      </c>
      <c r="G108" s="17">
        <v>225000</v>
      </c>
      <c r="H108" s="56">
        <v>45827</v>
      </c>
      <c r="I108" s="19" t="str">
        <f>IF(N108&gt;1,"group","individual")</f>
        <v>individual</v>
      </c>
      <c r="J108" s="20">
        <v>1</v>
      </c>
      <c r="K108" s="47"/>
      <c r="L108" s="21"/>
      <c r="M108" s="21"/>
      <c r="N108" s="19">
        <f>SUM(J108:K108)</f>
        <v>1</v>
      </c>
      <c r="O108" s="19">
        <f>SUM(L108:M108)</f>
        <v>0</v>
      </c>
      <c r="P108" s="22" t="s">
        <v>30</v>
      </c>
      <c r="Q108" s="23" t="s">
        <v>61</v>
      </c>
    </row>
    <row r="109" spans="1:17" ht="15.75" customHeight="1">
      <c r="A109" s="13" t="s">
        <v>25</v>
      </c>
      <c r="B109" s="13" t="s">
        <v>26</v>
      </c>
      <c r="C109" s="14" t="s">
        <v>7</v>
      </c>
      <c r="D109" s="15" t="s">
        <v>154</v>
      </c>
      <c r="E109" s="15" t="s">
        <v>188</v>
      </c>
      <c r="F109" s="15" t="s">
        <v>76</v>
      </c>
      <c r="G109" s="17">
        <v>75000</v>
      </c>
      <c r="H109" s="56">
        <v>45827</v>
      </c>
      <c r="I109" s="19" t="str">
        <f>IF(N109&gt;1,"group","individual")</f>
        <v>individual</v>
      </c>
      <c r="J109" s="150">
        <v>1</v>
      </c>
      <c r="K109" s="47"/>
      <c r="L109" s="21"/>
      <c r="M109" s="21"/>
      <c r="N109" s="19">
        <f>SUM(J109:K109)</f>
        <v>1</v>
      </c>
      <c r="O109" s="19">
        <f>SUM(L109:M109)</f>
        <v>0</v>
      </c>
      <c r="P109" s="22" t="s">
        <v>30</v>
      </c>
      <c r="Q109" s="23" t="s">
        <v>81</v>
      </c>
    </row>
    <row r="110" spans="1:17" ht="15.75" customHeight="1">
      <c r="A110" s="13" t="s">
        <v>25</v>
      </c>
      <c r="B110" s="13" t="s">
        <v>26</v>
      </c>
      <c r="C110" s="14" t="s">
        <v>7</v>
      </c>
      <c r="D110" s="15" t="s">
        <v>154</v>
      </c>
      <c r="E110" s="15" t="s">
        <v>189</v>
      </c>
      <c r="F110" s="15" t="s">
        <v>37</v>
      </c>
      <c r="G110" s="17">
        <v>75000</v>
      </c>
      <c r="H110" s="56">
        <v>45833</v>
      </c>
      <c r="I110" s="19" t="str">
        <f>IF(N110&gt;1,"group","individual")</f>
        <v>individual</v>
      </c>
      <c r="J110" s="24"/>
      <c r="K110" s="20">
        <v>1</v>
      </c>
      <c r="L110" s="21"/>
      <c r="M110" s="21"/>
      <c r="N110" s="19">
        <f>SUM(J110:K110)</f>
        <v>1</v>
      </c>
      <c r="O110" s="19">
        <f>SUM(L110:M110)</f>
        <v>0</v>
      </c>
      <c r="P110" s="22" t="s">
        <v>30</v>
      </c>
      <c r="Q110" s="23" t="s">
        <v>81</v>
      </c>
    </row>
    <row r="111" spans="1:17" ht="15.75" customHeight="1">
      <c r="A111" s="13" t="s">
        <v>25</v>
      </c>
      <c r="B111" s="13" t="s">
        <v>26</v>
      </c>
      <c r="C111" s="14" t="s">
        <v>7</v>
      </c>
      <c r="D111" s="15" t="s">
        <v>154</v>
      </c>
      <c r="E111" s="15" t="s">
        <v>190</v>
      </c>
      <c r="F111" s="63" t="s">
        <v>191</v>
      </c>
      <c r="G111" s="65">
        <v>75000</v>
      </c>
      <c r="H111" s="56">
        <v>45833</v>
      </c>
      <c r="I111" s="19" t="str">
        <f>IF(N111&gt;1,"group","individual")</f>
        <v>individual</v>
      </c>
      <c r="J111" s="169"/>
      <c r="K111" s="64">
        <v>1</v>
      </c>
      <c r="L111" s="21"/>
      <c r="M111" s="21"/>
      <c r="N111" s="19">
        <f>SUM(J111:K111)</f>
        <v>1</v>
      </c>
      <c r="O111" s="19">
        <f>SUM(L111:M111)</f>
        <v>0</v>
      </c>
      <c r="P111" s="22" t="s">
        <v>30</v>
      </c>
      <c r="Q111" s="23" t="s">
        <v>103</v>
      </c>
    </row>
    <row r="112" spans="1:17" ht="15.75" customHeight="1">
      <c r="A112" s="13" t="s">
        <v>25</v>
      </c>
      <c r="B112" s="13" t="s">
        <v>26</v>
      </c>
      <c r="C112" s="14" t="s">
        <v>7</v>
      </c>
      <c r="D112" s="15" t="s">
        <v>154</v>
      </c>
      <c r="E112" s="15" t="s">
        <v>192</v>
      </c>
      <c r="F112" s="15" t="s">
        <v>193</v>
      </c>
      <c r="G112" s="17">
        <v>75000</v>
      </c>
      <c r="H112" s="150" t="s">
        <v>49</v>
      </c>
      <c r="I112" s="19" t="str">
        <f>IF(N112&gt;1,"group","individual")</f>
        <v>individual</v>
      </c>
      <c r="J112" s="24"/>
      <c r="K112" s="20">
        <v>1</v>
      </c>
      <c r="L112" s="21"/>
      <c r="M112" s="21"/>
      <c r="N112" s="19">
        <f>SUM(J112:K112)</f>
        <v>1</v>
      </c>
      <c r="O112" s="19">
        <f>SUM(L112:M112)</f>
        <v>0</v>
      </c>
      <c r="P112" s="22" t="s">
        <v>30</v>
      </c>
      <c r="Q112" s="23" t="s">
        <v>103</v>
      </c>
    </row>
    <row r="113" spans="1:17" ht="15.75" customHeight="1">
      <c r="A113" s="13" t="s">
        <v>25</v>
      </c>
      <c r="B113" s="13" t="s">
        <v>26</v>
      </c>
      <c r="C113" s="14" t="s">
        <v>7</v>
      </c>
      <c r="D113" s="15" t="s">
        <v>154</v>
      </c>
      <c r="E113" s="15" t="s">
        <v>194</v>
      </c>
      <c r="F113" s="15" t="s">
        <v>37</v>
      </c>
      <c r="G113" s="17">
        <v>225000</v>
      </c>
      <c r="H113" s="150" t="s">
        <v>49</v>
      </c>
      <c r="I113" s="19" t="str">
        <f>IF(N113&gt;1,"group","individual")</f>
        <v>individual</v>
      </c>
      <c r="J113" s="47"/>
      <c r="K113" s="150">
        <v>1</v>
      </c>
      <c r="L113" s="21"/>
      <c r="M113" s="21"/>
      <c r="N113" s="19">
        <f>SUM(J113:K113)</f>
        <v>1</v>
      </c>
      <c r="O113" s="19">
        <f>SUM(L113:M113)</f>
        <v>0</v>
      </c>
      <c r="P113" s="22" t="s">
        <v>30</v>
      </c>
      <c r="Q113" s="23" t="s">
        <v>103</v>
      </c>
    </row>
    <row r="114" spans="1:17" ht="15.75" customHeight="1">
      <c r="A114" s="13" t="s">
        <v>25</v>
      </c>
      <c r="B114" s="13" t="s">
        <v>26</v>
      </c>
      <c r="C114" s="14" t="s">
        <v>7</v>
      </c>
      <c r="D114" s="15" t="s">
        <v>154</v>
      </c>
      <c r="E114" s="15" t="s">
        <v>195</v>
      </c>
      <c r="F114" s="15" t="s">
        <v>196</v>
      </c>
      <c r="G114" s="17">
        <v>75000</v>
      </c>
      <c r="H114" s="150" t="s">
        <v>49</v>
      </c>
      <c r="I114" s="19" t="str">
        <f>IF(N114&gt;1,"group","individual")</f>
        <v>individual</v>
      </c>
      <c r="J114" s="47"/>
      <c r="K114" s="150">
        <v>1</v>
      </c>
      <c r="L114" s="21"/>
      <c r="M114" s="21"/>
      <c r="N114" s="19">
        <f>SUM(J114:K114)</f>
        <v>1</v>
      </c>
      <c r="O114" s="19">
        <f>SUM(L114:M114)</f>
        <v>0</v>
      </c>
      <c r="P114" s="38" t="s">
        <v>30</v>
      </c>
      <c r="Q114" s="39" t="s">
        <v>109</v>
      </c>
    </row>
    <row r="115" spans="1:17" ht="15.75" customHeight="1">
      <c r="A115" s="120" t="s">
        <v>25</v>
      </c>
      <c r="B115" s="120" t="s">
        <v>26</v>
      </c>
      <c r="C115" s="31" t="s">
        <v>7</v>
      </c>
      <c r="D115" s="87" t="s">
        <v>154</v>
      </c>
      <c r="E115" s="87" t="s">
        <v>197</v>
      </c>
      <c r="F115" s="87" t="s">
        <v>181</v>
      </c>
      <c r="G115" s="33">
        <v>75000</v>
      </c>
      <c r="H115" s="34" t="s">
        <v>138</v>
      </c>
      <c r="I115" s="19" t="str">
        <f>IF(N115&gt;1,"group","individual")</f>
        <v>individual</v>
      </c>
      <c r="J115" s="35"/>
      <c r="K115" s="34">
        <v>1</v>
      </c>
      <c r="L115" s="120"/>
      <c r="M115" s="120"/>
      <c r="N115" s="19">
        <f>SUM(J115:K115)</f>
        <v>1</v>
      </c>
      <c r="O115" s="19">
        <f>SUM(L115:M115)</f>
        <v>0</v>
      </c>
      <c r="P115" s="38" t="s">
        <v>183</v>
      </c>
      <c r="Q115" s="39" t="s">
        <v>198</v>
      </c>
    </row>
    <row r="116" spans="1:17" ht="15.75" customHeight="1">
      <c r="A116" s="120" t="s">
        <v>25</v>
      </c>
      <c r="B116" s="120" t="s">
        <v>26</v>
      </c>
      <c r="C116" s="31" t="s">
        <v>7</v>
      </c>
      <c r="D116" s="87" t="s">
        <v>154</v>
      </c>
      <c r="E116" s="87" t="s">
        <v>199</v>
      </c>
      <c r="F116" s="87" t="s">
        <v>186</v>
      </c>
      <c r="G116" s="33">
        <v>225000</v>
      </c>
      <c r="H116" s="34" t="s">
        <v>108</v>
      </c>
      <c r="I116" s="19" t="str">
        <f>IF(N116&gt;1,"group","individual")</f>
        <v>individual</v>
      </c>
      <c r="J116" s="34">
        <v>1</v>
      </c>
      <c r="K116" s="35"/>
      <c r="L116" s="120"/>
      <c r="M116" s="120"/>
      <c r="N116" s="19">
        <f>SUM(J116:K116)</f>
        <v>1</v>
      </c>
      <c r="O116" s="19">
        <f>SUM(L116:M116)</f>
        <v>0</v>
      </c>
      <c r="P116" s="38" t="s">
        <v>30</v>
      </c>
      <c r="Q116" s="39" t="s">
        <v>139</v>
      </c>
    </row>
    <row r="117" spans="1:17" ht="15.75" customHeight="1">
      <c r="A117" s="120" t="s">
        <v>25</v>
      </c>
      <c r="B117" s="120" t="s">
        <v>26</v>
      </c>
      <c r="C117" s="31" t="s">
        <v>7</v>
      </c>
      <c r="D117" s="87" t="s">
        <v>154</v>
      </c>
      <c r="E117" s="87" t="s">
        <v>200</v>
      </c>
      <c r="F117" s="87" t="s">
        <v>102</v>
      </c>
      <c r="G117" s="33">
        <v>225000</v>
      </c>
      <c r="H117" s="34" t="s">
        <v>138</v>
      </c>
      <c r="I117" s="19" t="str">
        <f>IF(N117&gt;1,"group","individual")</f>
        <v>individual</v>
      </c>
      <c r="J117" s="35"/>
      <c r="K117" s="34">
        <v>1</v>
      </c>
      <c r="L117" s="120"/>
      <c r="M117" s="120"/>
      <c r="N117" s="19">
        <f>SUM(J117:K117)</f>
        <v>1</v>
      </c>
      <c r="O117" s="19">
        <f>SUM(L117:M117)</f>
        <v>0</v>
      </c>
      <c r="P117" s="38" t="s">
        <v>30</v>
      </c>
      <c r="Q117" s="39" t="s">
        <v>112</v>
      </c>
    </row>
    <row r="118" spans="1:17" ht="15.75" customHeight="1">
      <c r="A118" s="120" t="s">
        <v>25</v>
      </c>
      <c r="B118" s="120" t="s">
        <v>26</v>
      </c>
      <c r="C118" s="31" t="s">
        <v>7</v>
      </c>
      <c r="D118" s="87" t="s">
        <v>154</v>
      </c>
      <c r="E118" s="87" t="s">
        <v>201</v>
      </c>
      <c r="F118" s="87" t="s">
        <v>202</v>
      </c>
      <c r="G118" s="33">
        <v>150000</v>
      </c>
      <c r="H118" s="34" t="s">
        <v>111</v>
      </c>
      <c r="I118" s="19" t="str">
        <f>IF(N118&gt;1,"group","individual")</f>
        <v>group</v>
      </c>
      <c r="J118" s="35"/>
      <c r="K118" s="34">
        <v>2</v>
      </c>
      <c r="L118" s="120"/>
      <c r="M118" s="120"/>
      <c r="N118" s="19">
        <f>SUM(J118:K118)</f>
        <v>2</v>
      </c>
      <c r="O118" s="19">
        <f>SUM(L118:M118)</f>
        <v>0</v>
      </c>
      <c r="P118" s="38" t="s">
        <v>30</v>
      </c>
      <c r="Q118" s="39" t="s">
        <v>112</v>
      </c>
    </row>
    <row r="119" spans="1:17" ht="15.75" customHeight="1">
      <c r="A119" s="120" t="s">
        <v>25</v>
      </c>
      <c r="B119" s="120" t="s">
        <v>26</v>
      </c>
      <c r="C119" s="31" t="s">
        <v>7</v>
      </c>
      <c r="D119" s="87" t="s">
        <v>154</v>
      </c>
      <c r="E119" s="87" t="s">
        <v>203</v>
      </c>
      <c r="F119" s="87" t="s">
        <v>76</v>
      </c>
      <c r="G119" s="33">
        <v>225000</v>
      </c>
      <c r="H119" s="34" t="s">
        <v>111</v>
      </c>
      <c r="I119" s="19" t="str">
        <f>IF(N119&gt;1,"group","individual")</f>
        <v>individual</v>
      </c>
      <c r="J119" s="35"/>
      <c r="K119" s="34">
        <v>1</v>
      </c>
      <c r="L119" s="120"/>
      <c r="M119" s="120"/>
      <c r="N119" s="19">
        <f>SUM(J119:K119)</f>
        <v>1</v>
      </c>
      <c r="O119" s="19">
        <f>SUM(L119:M119)</f>
        <v>0</v>
      </c>
      <c r="P119" s="38" t="s">
        <v>30</v>
      </c>
      <c r="Q119" s="39" t="s">
        <v>112</v>
      </c>
    </row>
    <row r="120" spans="1:17" ht="15.75" customHeight="1">
      <c r="A120" s="120" t="s">
        <v>25</v>
      </c>
      <c r="B120" s="120" t="s">
        <v>26</v>
      </c>
      <c r="C120" s="31" t="s">
        <v>7</v>
      </c>
      <c r="D120" s="87" t="s">
        <v>154</v>
      </c>
      <c r="E120" s="87" t="s">
        <v>204</v>
      </c>
      <c r="F120" s="87" t="s">
        <v>29</v>
      </c>
      <c r="G120" s="33">
        <v>225000</v>
      </c>
      <c r="H120" s="34" t="s">
        <v>111</v>
      </c>
      <c r="I120" s="19" t="str">
        <f>IF(N120&gt;1,"group","individual")</f>
        <v>individual</v>
      </c>
      <c r="J120" s="35"/>
      <c r="K120" s="34">
        <v>1</v>
      </c>
      <c r="L120" s="120"/>
      <c r="M120" s="120"/>
      <c r="N120" s="19">
        <f>SUM(J120:K120)</f>
        <v>1</v>
      </c>
      <c r="O120" s="19">
        <f>SUM(L120:M120)</f>
        <v>0</v>
      </c>
      <c r="P120" s="22" t="s">
        <v>30</v>
      </c>
      <c r="Q120" s="23" t="s">
        <v>205</v>
      </c>
    </row>
    <row r="121" spans="1:17" ht="15.75" customHeight="1">
      <c r="A121" s="118" t="s">
        <v>25</v>
      </c>
      <c r="B121" s="118" t="s">
        <v>26</v>
      </c>
      <c r="C121" s="45" t="s">
        <v>7</v>
      </c>
      <c r="D121" s="70" t="s">
        <v>154</v>
      </c>
      <c r="E121" s="70" t="s">
        <v>206</v>
      </c>
      <c r="F121" s="70" t="s">
        <v>37</v>
      </c>
      <c r="G121" s="17">
        <v>75000</v>
      </c>
      <c r="H121" s="150" t="s">
        <v>81</v>
      </c>
      <c r="I121" s="19" t="str">
        <f>IF(N121&gt;1,"group","individual")</f>
        <v>individual</v>
      </c>
      <c r="J121" s="47"/>
      <c r="K121" s="150">
        <v>1</v>
      </c>
      <c r="L121" s="118"/>
      <c r="M121" s="118"/>
      <c r="N121" s="19">
        <f>SUM(J121:K121)</f>
        <v>1</v>
      </c>
      <c r="O121" s="19">
        <f>SUM(L121:M121)</f>
        <v>0</v>
      </c>
      <c r="P121" s="57"/>
      <c r="Q121" s="58"/>
    </row>
    <row r="122" spans="1:17" ht="15.75" customHeight="1">
      <c r="A122" s="13" t="s">
        <v>25</v>
      </c>
      <c r="B122" s="13" t="s">
        <v>26</v>
      </c>
      <c r="C122" s="14" t="s">
        <v>7</v>
      </c>
      <c r="D122" s="15" t="s">
        <v>154</v>
      </c>
      <c r="E122" s="15" t="s">
        <v>207</v>
      </c>
      <c r="F122" s="15" t="s">
        <v>29</v>
      </c>
      <c r="G122" s="17">
        <v>75000</v>
      </c>
      <c r="H122" s="150" t="s">
        <v>146</v>
      </c>
      <c r="I122" s="19" t="str">
        <f>IF(N122&gt;1,"group","individual")</f>
        <v>individual</v>
      </c>
      <c r="J122" s="47"/>
      <c r="K122" s="150">
        <v>1</v>
      </c>
      <c r="L122" s="21"/>
      <c r="M122" s="21"/>
      <c r="N122" s="19">
        <f>SUM(J122:K122)</f>
        <v>1</v>
      </c>
      <c r="O122" s="19">
        <f>SUM(L122:M122)</f>
        <v>0</v>
      </c>
      <c r="P122" s="57"/>
      <c r="Q122" s="58"/>
    </row>
    <row r="123" spans="1:17" ht="15.75" customHeight="1">
      <c r="A123" s="13" t="s">
        <v>25</v>
      </c>
      <c r="B123" s="13" t="s">
        <v>26</v>
      </c>
      <c r="C123" s="14" t="s">
        <v>7</v>
      </c>
      <c r="D123" s="15" t="s">
        <v>154</v>
      </c>
      <c r="E123" s="15" t="s">
        <v>208</v>
      </c>
      <c r="F123" s="15" t="s">
        <v>37</v>
      </c>
      <c r="G123" s="17">
        <v>75000</v>
      </c>
      <c r="H123" s="150" t="s">
        <v>146</v>
      </c>
      <c r="I123" s="19" t="str">
        <f>IF(N123&gt;1,"group","individual")</f>
        <v>individual</v>
      </c>
      <c r="J123" s="47"/>
      <c r="K123" s="150">
        <v>1</v>
      </c>
      <c r="L123" s="21"/>
      <c r="M123" s="21"/>
      <c r="N123" s="19">
        <f>SUM(J123:K123)</f>
        <v>1</v>
      </c>
      <c r="O123" s="19">
        <f>SUM(L123:M123)</f>
        <v>0</v>
      </c>
      <c r="P123" s="57"/>
      <c r="Q123" s="58"/>
    </row>
    <row r="124" spans="1:17" ht="15.75" customHeight="1">
      <c r="A124" s="13" t="s">
        <v>25</v>
      </c>
      <c r="B124" s="13" t="s">
        <v>26</v>
      </c>
      <c r="C124" s="14" t="s">
        <v>7</v>
      </c>
      <c r="D124" s="15" t="s">
        <v>154</v>
      </c>
      <c r="E124" s="15" t="s">
        <v>209</v>
      </c>
      <c r="F124" s="15" t="s">
        <v>37</v>
      </c>
      <c r="G124" s="17">
        <v>75000</v>
      </c>
      <c r="H124" s="150" t="s">
        <v>146</v>
      </c>
      <c r="I124" s="19" t="str">
        <f>IF(N124&gt;1,"group","individual")</f>
        <v>individual</v>
      </c>
      <c r="J124" s="47"/>
      <c r="K124" s="150">
        <v>1</v>
      </c>
      <c r="L124" s="21"/>
      <c r="M124" s="21"/>
      <c r="N124" s="19">
        <f>SUM(J124:K124)</f>
        <v>1</v>
      </c>
      <c r="O124" s="19">
        <f>SUM(L124:M124)</f>
        <v>0</v>
      </c>
      <c r="P124" s="57"/>
      <c r="Q124" s="58"/>
    </row>
    <row r="125" spans="1:17" ht="15.75" customHeight="1">
      <c r="A125" s="13" t="s">
        <v>25</v>
      </c>
      <c r="B125" s="13" t="s">
        <v>26</v>
      </c>
      <c r="C125" s="14" t="s">
        <v>7</v>
      </c>
      <c r="D125" s="15" t="s">
        <v>154</v>
      </c>
      <c r="E125" s="15" t="s">
        <v>210</v>
      </c>
      <c r="F125" s="15" t="s">
        <v>29</v>
      </c>
      <c r="G125" s="17">
        <v>75000</v>
      </c>
      <c r="H125" s="150" t="s">
        <v>146</v>
      </c>
      <c r="I125" s="19" t="str">
        <f>IF(N125&gt;1,"group","individual")</f>
        <v>individual</v>
      </c>
      <c r="J125" s="47"/>
      <c r="K125" s="150">
        <v>1</v>
      </c>
      <c r="L125" s="21"/>
      <c r="M125" s="21"/>
      <c r="N125" s="19">
        <f>SUM(J125:K125)</f>
        <v>1</v>
      </c>
      <c r="O125" s="19">
        <f>SUM(L125:M125)</f>
        <v>0</v>
      </c>
      <c r="P125" s="59" t="s">
        <v>30</v>
      </c>
      <c r="Q125" s="23" t="s">
        <v>211</v>
      </c>
    </row>
    <row r="126" spans="1:17" ht="15.75" customHeight="1">
      <c r="A126" s="118" t="s">
        <v>25</v>
      </c>
      <c r="B126" s="118" t="s">
        <v>26</v>
      </c>
      <c r="C126" s="45" t="s">
        <v>7</v>
      </c>
      <c r="D126" s="70" t="s">
        <v>11</v>
      </c>
      <c r="E126" s="70" t="s">
        <v>212</v>
      </c>
      <c r="F126" s="70" t="s">
        <v>213</v>
      </c>
      <c r="G126" s="17">
        <v>225000</v>
      </c>
      <c r="H126" s="60">
        <v>45608</v>
      </c>
      <c r="I126" s="19" t="str">
        <f>IF(N126&gt;1,"group","individual")</f>
        <v>group</v>
      </c>
      <c r="J126" s="150">
        <v>5</v>
      </c>
      <c r="K126" s="47"/>
      <c r="L126" s="118"/>
      <c r="M126" s="118"/>
      <c r="N126" s="19">
        <f>SUM(J126:K126)</f>
        <v>5</v>
      </c>
      <c r="O126" s="19">
        <f>SUM(L126:M126)</f>
        <v>0</v>
      </c>
      <c r="P126" s="59" t="s">
        <v>30</v>
      </c>
      <c r="Q126" s="23" t="s">
        <v>211</v>
      </c>
    </row>
    <row r="127" spans="1:17" ht="15.75" customHeight="1">
      <c r="A127" s="118" t="s">
        <v>25</v>
      </c>
      <c r="B127" s="118" t="s">
        <v>26</v>
      </c>
      <c r="C127" s="45" t="s">
        <v>7</v>
      </c>
      <c r="D127" s="70" t="s">
        <v>11</v>
      </c>
      <c r="E127" s="70" t="s">
        <v>214</v>
      </c>
      <c r="F127" s="70" t="s">
        <v>215</v>
      </c>
      <c r="G127" s="17">
        <v>225000</v>
      </c>
      <c r="H127" s="60">
        <v>45608</v>
      </c>
      <c r="I127" s="19" t="str">
        <f>IF(N127&gt;1,"group","individual")</f>
        <v>group</v>
      </c>
      <c r="J127" s="150">
        <v>3</v>
      </c>
      <c r="K127" s="150">
        <v>2</v>
      </c>
      <c r="L127" s="118"/>
      <c r="M127" s="118"/>
      <c r="N127" s="19">
        <f>SUM(J127:K127)</f>
        <v>5</v>
      </c>
      <c r="O127" s="19">
        <f>SUM(L127:M127)</f>
        <v>0</v>
      </c>
      <c r="P127" s="59" t="s">
        <v>30</v>
      </c>
      <c r="Q127" s="23" t="s">
        <v>216</v>
      </c>
    </row>
    <row r="128" spans="1:17" ht="15.75" customHeight="1">
      <c r="A128" s="118" t="s">
        <v>25</v>
      </c>
      <c r="B128" s="118" t="s">
        <v>26</v>
      </c>
      <c r="C128" s="45" t="s">
        <v>7</v>
      </c>
      <c r="D128" s="70" t="s">
        <v>11</v>
      </c>
      <c r="E128" s="70" t="s">
        <v>217</v>
      </c>
      <c r="F128" s="70" t="s">
        <v>37</v>
      </c>
      <c r="G128" s="17">
        <v>225000</v>
      </c>
      <c r="H128" s="61">
        <v>45643</v>
      </c>
      <c r="I128" s="19" t="str">
        <f>IF(N128&gt;1,"group","individual")</f>
        <v>group</v>
      </c>
      <c r="J128" s="150">
        <v>1</v>
      </c>
      <c r="K128" s="150">
        <v>4</v>
      </c>
      <c r="L128" s="118"/>
      <c r="M128" s="118"/>
      <c r="N128" s="19">
        <f>SUM(J128:K128)</f>
        <v>5</v>
      </c>
      <c r="O128" s="19">
        <f>SUM(L128:M128)</f>
        <v>0</v>
      </c>
      <c r="P128" s="59" t="s">
        <v>30</v>
      </c>
      <c r="Q128" s="23" t="s">
        <v>218</v>
      </c>
    </row>
    <row r="129" spans="1:17" ht="15.75" customHeight="1">
      <c r="A129" s="118" t="s">
        <v>25</v>
      </c>
      <c r="B129" s="118" t="s">
        <v>26</v>
      </c>
      <c r="C129" s="45" t="s">
        <v>7</v>
      </c>
      <c r="D129" s="70" t="s">
        <v>11</v>
      </c>
      <c r="E129" s="70" t="s">
        <v>219</v>
      </c>
      <c r="F129" s="70" t="s">
        <v>181</v>
      </c>
      <c r="G129" s="17">
        <v>225000</v>
      </c>
      <c r="H129" s="61">
        <v>45655</v>
      </c>
      <c r="I129" s="19" t="str">
        <f>IF(N129&gt;1,"group","individual")</f>
        <v>group</v>
      </c>
      <c r="J129" s="150">
        <v>1</v>
      </c>
      <c r="K129" s="150">
        <v>4</v>
      </c>
      <c r="L129" s="118"/>
      <c r="M129" s="118"/>
      <c r="N129" s="19">
        <f>SUM(J129:K129)</f>
        <v>5</v>
      </c>
      <c r="O129" s="19">
        <f>SUM(L129:M129)</f>
        <v>0</v>
      </c>
      <c r="P129" s="59" t="s">
        <v>30</v>
      </c>
      <c r="Q129" s="23" t="s">
        <v>220</v>
      </c>
    </row>
    <row r="130" spans="1:17" ht="15.75" customHeight="1">
      <c r="A130" s="118" t="s">
        <v>25</v>
      </c>
      <c r="B130" s="118" t="s">
        <v>26</v>
      </c>
      <c r="C130" s="45" t="s">
        <v>7</v>
      </c>
      <c r="D130" s="70" t="s">
        <v>11</v>
      </c>
      <c r="E130" s="70" t="s">
        <v>221</v>
      </c>
      <c r="F130" s="70" t="s">
        <v>160</v>
      </c>
      <c r="G130" s="17">
        <v>225000</v>
      </c>
      <c r="H130" s="60">
        <v>45665</v>
      </c>
      <c r="I130" s="19" t="str">
        <f>IF(N130&gt;1,"group","individual")</f>
        <v>group</v>
      </c>
      <c r="J130" s="150">
        <v>1</v>
      </c>
      <c r="K130" s="150">
        <v>4</v>
      </c>
      <c r="L130" s="118"/>
      <c r="M130" s="118"/>
      <c r="N130" s="19">
        <f>SUM(J130:K130)</f>
        <v>5</v>
      </c>
      <c r="O130" s="19">
        <f>SUM(L130:M130)</f>
        <v>0</v>
      </c>
      <c r="P130" s="59" t="s">
        <v>30</v>
      </c>
      <c r="Q130" s="23" t="s">
        <v>222</v>
      </c>
    </row>
    <row r="131" spans="1:17" ht="15.75" customHeight="1">
      <c r="A131" s="44" t="s">
        <v>25</v>
      </c>
      <c r="B131" s="44" t="s">
        <v>26</v>
      </c>
      <c r="C131" s="45" t="s">
        <v>7</v>
      </c>
      <c r="D131" s="15" t="s">
        <v>11</v>
      </c>
      <c r="E131" s="15" t="s">
        <v>223</v>
      </c>
      <c r="F131" s="15" t="s">
        <v>37</v>
      </c>
      <c r="G131" s="17">
        <v>225000</v>
      </c>
      <c r="H131" s="61">
        <v>45667</v>
      </c>
      <c r="I131" s="19" t="str">
        <f>IF(N131&gt;1,"group","individual")</f>
        <v>group</v>
      </c>
      <c r="J131" s="47"/>
      <c r="K131" s="150">
        <v>5</v>
      </c>
      <c r="L131" s="21"/>
      <c r="M131" s="21"/>
      <c r="N131" s="19">
        <f>SUM(J131:K131)</f>
        <v>5</v>
      </c>
      <c r="O131" s="19">
        <f>SUM(L131:M131)</f>
        <v>0</v>
      </c>
      <c r="P131" s="59" t="s">
        <v>30</v>
      </c>
      <c r="Q131" s="23" t="s">
        <v>224</v>
      </c>
    </row>
    <row r="132" spans="1:17" ht="15.75" customHeight="1">
      <c r="A132" s="44" t="s">
        <v>25</v>
      </c>
      <c r="B132" s="44" t="s">
        <v>26</v>
      </c>
      <c r="C132" s="45" t="s">
        <v>7</v>
      </c>
      <c r="D132" s="15" t="s">
        <v>11</v>
      </c>
      <c r="E132" s="15" t="s">
        <v>225</v>
      </c>
      <c r="F132" s="15" t="s">
        <v>181</v>
      </c>
      <c r="G132" s="17">
        <v>225000</v>
      </c>
      <c r="H132" s="62">
        <v>45720</v>
      </c>
      <c r="I132" s="19" t="str">
        <f>IF(N132&gt;1,"group","individual")</f>
        <v>group</v>
      </c>
      <c r="J132" s="150">
        <v>1</v>
      </c>
      <c r="K132" s="150">
        <v>3</v>
      </c>
      <c r="L132" s="27">
        <v>1</v>
      </c>
      <c r="M132" s="27">
        <v>0</v>
      </c>
      <c r="N132" s="19">
        <f>SUM(J132:K132)</f>
        <v>4</v>
      </c>
      <c r="O132" s="19">
        <f>SUM(L132:M132)</f>
        <v>1</v>
      </c>
      <c r="P132" s="59" t="s">
        <v>30</v>
      </c>
      <c r="Q132" s="23" t="s">
        <v>226</v>
      </c>
    </row>
    <row r="133" spans="1:17" ht="15.75" customHeight="1">
      <c r="A133" s="44" t="s">
        <v>25</v>
      </c>
      <c r="B133" s="44" t="s">
        <v>26</v>
      </c>
      <c r="C133" s="45" t="s">
        <v>7</v>
      </c>
      <c r="D133" s="15" t="s">
        <v>11</v>
      </c>
      <c r="E133" s="15" t="s">
        <v>227</v>
      </c>
      <c r="F133" s="15" t="s">
        <v>160</v>
      </c>
      <c r="G133" s="17">
        <v>225000</v>
      </c>
      <c r="H133" s="62">
        <v>45756</v>
      </c>
      <c r="I133" s="19" t="str">
        <f>IF(N133&gt;1,"group","individual")</f>
        <v>group</v>
      </c>
      <c r="J133" s="150">
        <v>2</v>
      </c>
      <c r="K133" s="150">
        <v>3</v>
      </c>
      <c r="L133" s="21"/>
      <c r="M133" s="21"/>
      <c r="N133" s="19">
        <f>SUM(J133:K133)</f>
        <v>5</v>
      </c>
      <c r="O133" s="19">
        <f>SUM(L133:M133)</f>
        <v>0</v>
      </c>
      <c r="P133" s="59" t="s">
        <v>30</v>
      </c>
      <c r="Q133" s="23" t="s">
        <v>228</v>
      </c>
    </row>
    <row r="134" spans="1:17" ht="15.75" customHeight="1">
      <c r="A134" s="44" t="s">
        <v>25</v>
      </c>
      <c r="B134" s="44" t="s">
        <v>26</v>
      </c>
      <c r="C134" s="45" t="s">
        <v>7</v>
      </c>
      <c r="D134" s="15" t="s">
        <v>11</v>
      </c>
      <c r="E134" s="15" t="s">
        <v>229</v>
      </c>
      <c r="F134" s="15" t="s">
        <v>181</v>
      </c>
      <c r="G134" s="17">
        <v>225000</v>
      </c>
      <c r="H134" s="18">
        <v>45767</v>
      </c>
      <c r="I134" s="19" t="str">
        <f>IF(N134&gt;1,"group","individual")</f>
        <v>group</v>
      </c>
      <c r="J134" s="47"/>
      <c r="K134" s="150">
        <v>5</v>
      </c>
      <c r="L134" s="21"/>
      <c r="M134" s="21"/>
      <c r="N134" s="19">
        <f>SUM(J134:K134)</f>
        <v>5</v>
      </c>
      <c r="O134" s="19">
        <f>SUM(L134:M134)</f>
        <v>0</v>
      </c>
      <c r="P134" s="59" t="s">
        <v>30</v>
      </c>
      <c r="Q134" s="84" t="s">
        <v>228</v>
      </c>
    </row>
    <row r="135" spans="1:17" ht="15.75" customHeight="1">
      <c r="A135" s="118" t="s">
        <v>25</v>
      </c>
      <c r="B135" s="118" t="s">
        <v>26</v>
      </c>
      <c r="C135" s="45" t="s">
        <v>7</v>
      </c>
      <c r="D135" s="70" t="s">
        <v>11</v>
      </c>
      <c r="E135" s="70" t="s">
        <v>230</v>
      </c>
      <c r="F135" s="70" t="s">
        <v>181</v>
      </c>
      <c r="G135" s="17">
        <v>225000</v>
      </c>
      <c r="H135" s="18">
        <v>46132</v>
      </c>
      <c r="I135" s="19" t="str">
        <f>IF(N135&gt;1,"group","individual")</f>
        <v>group</v>
      </c>
      <c r="J135" s="150">
        <v>1</v>
      </c>
      <c r="K135" s="150">
        <v>4</v>
      </c>
      <c r="L135" s="118"/>
      <c r="M135" s="118"/>
      <c r="N135" s="19">
        <f>SUM(J135:K135)</f>
        <v>5</v>
      </c>
      <c r="O135" s="19">
        <f>SUM(L135:M135)</f>
        <v>0</v>
      </c>
      <c r="P135" s="59" t="s">
        <v>30</v>
      </c>
      <c r="Q135" s="84" t="s">
        <v>47</v>
      </c>
    </row>
    <row r="136" spans="1:17" ht="15.75" customHeight="1">
      <c r="A136" s="13" t="s">
        <v>25</v>
      </c>
      <c r="B136" s="13" t="s">
        <v>26</v>
      </c>
      <c r="C136" s="45" t="s">
        <v>7</v>
      </c>
      <c r="D136" s="15" t="s">
        <v>11</v>
      </c>
      <c r="E136" s="15" t="s">
        <v>231</v>
      </c>
      <c r="F136" s="15" t="s">
        <v>160</v>
      </c>
      <c r="G136" s="17">
        <v>225000</v>
      </c>
      <c r="H136" s="18">
        <v>45792</v>
      </c>
      <c r="I136" s="19" t="str">
        <f>IF(N136&gt;1,"group","individual")</f>
        <v>group</v>
      </c>
      <c r="J136" s="150">
        <v>2</v>
      </c>
      <c r="K136" s="150">
        <v>3</v>
      </c>
      <c r="L136" s="21"/>
      <c r="M136" s="21"/>
      <c r="N136" s="19">
        <f>SUM(J136:K136)</f>
        <v>5</v>
      </c>
      <c r="O136" s="19">
        <f>SUM(L136:M136)</f>
        <v>0</v>
      </c>
      <c r="P136" s="59" t="s">
        <v>30</v>
      </c>
      <c r="Q136" s="84" t="s">
        <v>232</v>
      </c>
    </row>
    <row r="137" spans="1:17" ht="15.75" customHeight="1">
      <c r="A137" s="13" t="s">
        <v>25</v>
      </c>
      <c r="B137" s="13" t="s">
        <v>26</v>
      </c>
      <c r="C137" s="45" t="s">
        <v>7</v>
      </c>
      <c r="D137" s="15" t="s">
        <v>11</v>
      </c>
      <c r="E137" s="15" t="s">
        <v>233</v>
      </c>
      <c r="F137" s="70" t="s">
        <v>234</v>
      </c>
      <c r="G137" s="17">
        <v>50000</v>
      </c>
      <c r="H137" s="18">
        <v>45799</v>
      </c>
      <c r="I137" s="19" t="str">
        <f>IF(N137&gt;1,"group","individual")</f>
        <v>individual</v>
      </c>
      <c r="J137" s="150">
        <v>1</v>
      </c>
      <c r="K137" s="150">
        <v>0</v>
      </c>
      <c r="L137" s="21"/>
      <c r="M137" s="21"/>
      <c r="N137" s="19">
        <f>SUM(J137:K137)</f>
        <v>1</v>
      </c>
      <c r="O137" s="19">
        <f>SUM(L137:M137)</f>
        <v>0</v>
      </c>
      <c r="P137" s="59" t="s">
        <v>30</v>
      </c>
      <c r="Q137" s="84" t="s">
        <v>235</v>
      </c>
    </row>
    <row r="138" spans="1:17" ht="15.75" customHeight="1">
      <c r="A138" s="13" t="s">
        <v>25</v>
      </c>
      <c r="B138" s="13" t="s">
        <v>26</v>
      </c>
      <c r="C138" s="45" t="s">
        <v>7</v>
      </c>
      <c r="D138" s="15" t="s">
        <v>11</v>
      </c>
      <c r="E138" s="15" t="s">
        <v>236</v>
      </c>
      <c r="F138" s="15" t="s">
        <v>37</v>
      </c>
      <c r="G138" s="17">
        <v>50000</v>
      </c>
      <c r="H138" s="18">
        <v>45799</v>
      </c>
      <c r="I138" s="19" t="str">
        <f>IF(N138&gt;1,"group","individual")</f>
        <v>individual</v>
      </c>
      <c r="J138" s="150">
        <v>1</v>
      </c>
      <c r="K138" s="150">
        <v>0</v>
      </c>
      <c r="L138" s="21"/>
      <c r="M138" s="21"/>
      <c r="N138" s="19">
        <f>SUM(J138:K138)</f>
        <v>1</v>
      </c>
      <c r="O138" s="19">
        <f>SUM(L138:M138)</f>
        <v>0</v>
      </c>
      <c r="P138" s="59" t="s">
        <v>30</v>
      </c>
      <c r="Q138" s="188" t="s">
        <v>235</v>
      </c>
    </row>
    <row r="139" spans="1:17" ht="15.75" customHeight="1">
      <c r="A139" s="13" t="s">
        <v>25</v>
      </c>
      <c r="B139" s="13" t="s">
        <v>26</v>
      </c>
      <c r="C139" s="45" t="s">
        <v>7</v>
      </c>
      <c r="D139" s="15" t="s">
        <v>11</v>
      </c>
      <c r="E139" s="15" t="s">
        <v>237</v>
      </c>
      <c r="F139" s="15" t="s">
        <v>37</v>
      </c>
      <c r="G139" s="17">
        <v>50000</v>
      </c>
      <c r="H139" s="18">
        <v>45799</v>
      </c>
      <c r="I139" s="19" t="str">
        <f>IF(N139&gt;1,"group","individual")</f>
        <v>individual</v>
      </c>
      <c r="J139" s="47"/>
      <c r="K139" s="150">
        <v>1</v>
      </c>
      <c r="L139" s="21"/>
      <c r="M139" s="21"/>
      <c r="N139" s="19">
        <f>SUM(J139:K139)</f>
        <v>1</v>
      </c>
      <c r="O139" s="19">
        <f>SUM(L139:M139)</f>
        <v>0</v>
      </c>
      <c r="P139" s="59" t="s">
        <v>30</v>
      </c>
      <c r="Q139" s="188" t="s">
        <v>238</v>
      </c>
    </row>
    <row r="140" spans="1:17" ht="15.75" customHeight="1">
      <c r="A140" s="13" t="s">
        <v>25</v>
      </c>
      <c r="B140" s="13" t="s">
        <v>26</v>
      </c>
      <c r="C140" s="45" t="s">
        <v>7</v>
      </c>
      <c r="D140" s="15" t="s">
        <v>11</v>
      </c>
      <c r="E140" s="15" t="s">
        <v>239</v>
      </c>
      <c r="F140" s="15" t="s">
        <v>37</v>
      </c>
      <c r="G140" s="17">
        <v>50000</v>
      </c>
      <c r="H140" s="18">
        <v>45799</v>
      </c>
      <c r="I140" s="19" t="str">
        <f>IF(N140&gt;1,"group","individual")</f>
        <v>individual</v>
      </c>
      <c r="J140" s="47"/>
      <c r="K140" s="150">
        <v>1</v>
      </c>
      <c r="L140" s="21"/>
      <c r="M140" s="21"/>
      <c r="N140" s="19">
        <f>SUM(J140:K140)</f>
        <v>1</v>
      </c>
      <c r="O140" s="19">
        <f>SUM(L140:M140)</f>
        <v>0</v>
      </c>
      <c r="P140" s="59" t="s">
        <v>30</v>
      </c>
      <c r="Q140" s="188" t="s">
        <v>42</v>
      </c>
    </row>
    <row r="141" spans="1:17" ht="15.75" customHeight="1">
      <c r="A141" s="13" t="s">
        <v>25</v>
      </c>
      <c r="B141" s="13" t="s">
        <v>26</v>
      </c>
      <c r="C141" s="45" t="s">
        <v>7</v>
      </c>
      <c r="D141" s="15" t="s">
        <v>11</v>
      </c>
      <c r="E141" s="15" t="s">
        <v>240</v>
      </c>
      <c r="F141" s="70" t="s">
        <v>241</v>
      </c>
      <c r="G141" s="17">
        <v>225000</v>
      </c>
      <c r="H141" s="18">
        <v>45803</v>
      </c>
      <c r="I141" s="19" t="str">
        <f>IF(N141&gt;1,"group","individual")</f>
        <v>group</v>
      </c>
      <c r="J141" s="150">
        <v>2</v>
      </c>
      <c r="K141" s="150">
        <v>3</v>
      </c>
      <c r="L141" s="21"/>
      <c r="M141" s="21"/>
      <c r="N141" s="19">
        <f>SUM(J141:K141)</f>
        <v>5</v>
      </c>
      <c r="O141" s="19">
        <f>SUM(L141:M141)</f>
        <v>0</v>
      </c>
      <c r="P141" s="59" t="s">
        <v>30</v>
      </c>
      <c r="Q141" s="188" t="s">
        <v>242</v>
      </c>
    </row>
    <row r="142" spans="1:17" ht="15.75" customHeight="1">
      <c r="A142" s="13" t="s">
        <v>25</v>
      </c>
      <c r="B142" s="13" t="s">
        <v>26</v>
      </c>
      <c r="C142" s="45" t="s">
        <v>7</v>
      </c>
      <c r="D142" s="15" t="s">
        <v>11</v>
      </c>
      <c r="E142" s="15" t="s">
        <v>243</v>
      </c>
      <c r="F142" s="15" t="s">
        <v>141</v>
      </c>
      <c r="G142" s="17">
        <v>225000</v>
      </c>
      <c r="H142" s="66">
        <v>45812</v>
      </c>
      <c r="I142" s="19" t="str">
        <f>IF(N142&gt;1,"group","individual")</f>
        <v>group</v>
      </c>
      <c r="J142" s="47"/>
      <c r="K142" s="150">
        <v>5</v>
      </c>
      <c r="L142" s="21"/>
      <c r="M142" s="21"/>
      <c r="N142" s="19">
        <f>SUM(J142:K142)</f>
        <v>5</v>
      </c>
      <c r="O142" s="19">
        <f>SUM(L142:M142)</f>
        <v>0</v>
      </c>
      <c r="P142" s="59" t="s">
        <v>30</v>
      </c>
      <c r="Q142" s="188" t="s">
        <v>55</v>
      </c>
    </row>
    <row r="143" spans="1:17" ht="15.75" customHeight="1">
      <c r="A143" s="13" t="s">
        <v>25</v>
      </c>
      <c r="B143" s="13" t="s">
        <v>26</v>
      </c>
      <c r="C143" s="45" t="s">
        <v>7</v>
      </c>
      <c r="D143" s="15" t="s">
        <v>11</v>
      </c>
      <c r="E143" s="15" t="s">
        <v>244</v>
      </c>
      <c r="F143" s="15" t="s">
        <v>245</v>
      </c>
      <c r="G143" s="67">
        <v>225000</v>
      </c>
      <c r="H143" s="68">
        <v>45820</v>
      </c>
      <c r="I143" s="19" t="str">
        <f>IF(N143&gt;1,"group","individual")</f>
        <v>group</v>
      </c>
      <c r="J143" s="69">
        <v>3</v>
      </c>
      <c r="K143" s="69">
        <v>2</v>
      </c>
      <c r="L143" s="21"/>
      <c r="M143" s="21"/>
      <c r="N143" s="19">
        <f>SUM(J143:K143)</f>
        <v>5</v>
      </c>
      <c r="O143" s="19">
        <f>SUM(L143:M143)</f>
        <v>0</v>
      </c>
      <c r="P143" s="59" t="s">
        <v>30</v>
      </c>
      <c r="Q143" s="84" t="s">
        <v>55</v>
      </c>
    </row>
    <row r="144" spans="1:17" ht="15.75" customHeight="1">
      <c r="A144" s="13" t="s">
        <v>25</v>
      </c>
      <c r="B144" s="13" t="s">
        <v>26</v>
      </c>
      <c r="C144" s="45" t="s">
        <v>7</v>
      </c>
      <c r="D144" s="15" t="s">
        <v>11</v>
      </c>
      <c r="E144" s="15" t="s">
        <v>246</v>
      </c>
      <c r="F144" s="15" t="s">
        <v>247</v>
      </c>
      <c r="G144" s="67">
        <v>200000</v>
      </c>
      <c r="H144" s="68">
        <v>45820</v>
      </c>
      <c r="I144" s="19" t="str">
        <f>IF(N144&gt;1,"group","individual")</f>
        <v>individual</v>
      </c>
      <c r="J144" s="69">
        <v>1</v>
      </c>
      <c r="K144" s="70"/>
      <c r="L144" s="21"/>
      <c r="M144" s="21"/>
      <c r="N144" s="19">
        <f>SUM(J144:K144)</f>
        <v>1</v>
      </c>
      <c r="O144" s="19">
        <f>SUM(L144:M144)</f>
        <v>0</v>
      </c>
      <c r="P144" s="59" t="s">
        <v>30</v>
      </c>
      <c r="Q144" s="23" t="s">
        <v>248</v>
      </c>
    </row>
    <row r="145" spans="1:17" ht="15.75" customHeight="1">
      <c r="A145" s="13" t="s">
        <v>25</v>
      </c>
      <c r="B145" s="13" t="s">
        <v>26</v>
      </c>
      <c r="C145" s="45" t="s">
        <v>7</v>
      </c>
      <c r="D145" s="15" t="s">
        <v>11</v>
      </c>
      <c r="E145" s="15" t="s">
        <v>249</v>
      </c>
      <c r="F145" s="15" t="s">
        <v>250</v>
      </c>
      <c r="G145" s="67">
        <v>220000</v>
      </c>
      <c r="H145" s="68">
        <v>45820</v>
      </c>
      <c r="I145" s="19" t="str">
        <f>IF(N145&gt;1,"group","individual")</f>
        <v>individual</v>
      </c>
      <c r="J145" s="69">
        <v>1</v>
      </c>
      <c r="K145" s="70"/>
      <c r="L145" s="21"/>
      <c r="M145" s="21"/>
      <c r="N145" s="19">
        <f>SUM(J145:K145)</f>
        <v>1</v>
      </c>
      <c r="O145" s="19">
        <f>SUM(L145:M145)</f>
        <v>0</v>
      </c>
      <c r="P145" s="59" t="s">
        <v>30</v>
      </c>
      <c r="Q145" s="23" t="s">
        <v>103</v>
      </c>
    </row>
    <row r="146" spans="1:17" ht="15.75" customHeight="1">
      <c r="A146" s="13" t="s">
        <v>25</v>
      </c>
      <c r="B146" s="13" t="s">
        <v>26</v>
      </c>
      <c r="C146" s="45" t="s">
        <v>7</v>
      </c>
      <c r="D146" s="15" t="s">
        <v>11</v>
      </c>
      <c r="E146" s="15" t="s">
        <v>251</v>
      </c>
      <c r="F146" s="15" t="s">
        <v>76</v>
      </c>
      <c r="G146" s="67">
        <v>225000</v>
      </c>
      <c r="H146" s="71" t="s">
        <v>49</v>
      </c>
      <c r="I146" s="19" t="str">
        <f>IF(N146&gt;1,"group","individual")</f>
        <v>individual</v>
      </c>
      <c r="J146" s="69">
        <v>1</v>
      </c>
      <c r="K146" s="70"/>
      <c r="L146" s="21"/>
      <c r="M146" s="21"/>
      <c r="N146" s="19">
        <f>SUM(J146:K146)</f>
        <v>1</v>
      </c>
      <c r="O146" s="19">
        <f>SUM(L146:M146)</f>
        <v>0</v>
      </c>
      <c r="P146" s="59" t="s">
        <v>30</v>
      </c>
      <c r="Q146" s="23" t="s">
        <v>139</v>
      </c>
    </row>
    <row r="147" spans="1:17" ht="15.75" customHeight="1">
      <c r="A147" s="13" t="s">
        <v>25</v>
      </c>
      <c r="B147" s="13" t="s">
        <v>26</v>
      </c>
      <c r="C147" s="45" t="s">
        <v>7</v>
      </c>
      <c r="D147" s="15" t="s">
        <v>11</v>
      </c>
      <c r="E147" s="15" t="s">
        <v>252</v>
      </c>
      <c r="F147" s="15" t="s">
        <v>253</v>
      </c>
      <c r="G147" s="67">
        <v>180000</v>
      </c>
      <c r="H147" s="71" t="s">
        <v>138</v>
      </c>
      <c r="I147" s="19" t="str">
        <f>IF(N147&gt;1,"group","individual")</f>
        <v>group</v>
      </c>
      <c r="J147" s="69">
        <v>3</v>
      </c>
      <c r="K147" s="69">
        <v>1</v>
      </c>
      <c r="L147" s="21"/>
      <c r="M147" s="21"/>
      <c r="N147" s="19">
        <f>SUM(J147:K147)</f>
        <v>4</v>
      </c>
      <c r="O147" s="19">
        <f>SUM(L147:M147)</f>
        <v>0</v>
      </c>
      <c r="P147" s="72" t="s">
        <v>30</v>
      </c>
      <c r="Q147" s="41" t="s">
        <v>254</v>
      </c>
    </row>
    <row r="148" spans="1:17" ht="15.75" customHeight="1">
      <c r="A148" s="118" t="s">
        <v>25</v>
      </c>
      <c r="B148" s="118" t="s">
        <v>26</v>
      </c>
      <c r="C148" s="45" t="s">
        <v>7</v>
      </c>
      <c r="D148" s="70" t="s">
        <v>11</v>
      </c>
      <c r="E148" s="70" t="s">
        <v>255</v>
      </c>
      <c r="F148" s="70" t="s">
        <v>76</v>
      </c>
      <c r="G148" s="67">
        <v>225000</v>
      </c>
      <c r="H148" s="71" t="s">
        <v>256</v>
      </c>
      <c r="I148" s="19" t="str">
        <f>IF(N148&gt;1,"group","individual")</f>
        <v>individual</v>
      </c>
      <c r="J148" s="70"/>
      <c r="K148" s="69">
        <v>1</v>
      </c>
      <c r="L148" s="118"/>
      <c r="M148" s="118"/>
      <c r="N148" s="19">
        <f>SUM(J148:K148)</f>
        <v>1</v>
      </c>
      <c r="O148" s="19">
        <f>SUM(L148:M148)</f>
        <v>0</v>
      </c>
      <c r="P148" s="73" t="s">
        <v>30</v>
      </c>
      <c r="Q148" s="41" t="s">
        <v>254</v>
      </c>
    </row>
    <row r="149" spans="1:17" ht="15.75" customHeight="1">
      <c r="A149" s="128" t="s">
        <v>25</v>
      </c>
      <c r="B149" s="128" t="s">
        <v>26</v>
      </c>
      <c r="C149" s="48" t="s">
        <v>7</v>
      </c>
      <c r="D149" s="49" t="s">
        <v>11</v>
      </c>
      <c r="E149" s="49" t="s">
        <v>257</v>
      </c>
      <c r="F149" s="49" t="s">
        <v>258</v>
      </c>
      <c r="G149" s="74">
        <v>75000</v>
      </c>
      <c r="H149" s="75">
        <v>45924</v>
      </c>
      <c r="I149" s="19" t="str">
        <f>IF(N149&gt;1,"group","individual")</f>
        <v>individual</v>
      </c>
      <c r="J149" s="49"/>
      <c r="K149" s="76">
        <v>1</v>
      </c>
      <c r="L149" s="128"/>
      <c r="M149" s="128"/>
      <c r="N149" s="19">
        <f>SUM(J149:K149)</f>
        <v>1</v>
      </c>
      <c r="O149" s="19">
        <f>SUM(L149:M149)</f>
        <v>0</v>
      </c>
      <c r="P149" s="73" t="s">
        <v>30</v>
      </c>
      <c r="Q149" s="41" t="s">
        <v>254</v>
      </c>
    </row>
    <row r="150" spans="1:17" ht="15.75" customHeight="1">
      <c r="A150" s="128" t="s">
        <v>25</v>
      </c>
      <c r="B150" s="128" t="s">
        <v>26</v>
      </c>
      <c r="C150" s="48" t="s">
        <v>7</v>
      </c>
      <c r="D150" s="49" t="s">
        <v>11</v>
      </c>
      <c r="E150" s="49" t="s">
        <v>259</v>
      </c>
      <c r="F150" s="49" t="s">
        <v>174</v>
      </c>
      <c r="G150" s="74">
        <v>150000</v>
      </c>
      <c r="H150" s="75">
        <v>45924</v>
      </c>
      <c r="I150" s="19" t="str">
        <f>IF(N150&gt;1,"group","individual")</f>
        <v>group</v>
      </c>
      <c r="J150" s="49"/>
      <c r="K150" s="76">
        <v>2</v>
      </c>
      <c r="L150" s="128"/>
      <c r="M150" s="128"/>
      <c r="N150" s="19">
        <f>SUM(J150:K150)</f>
        <v>2</v>
      </c>
      <c r="O150" s="19">
        <f>SUM(L150:M150)</f>
        <v>0</v>
      </c>
      <c r="P150" s="73" t="s">
        <v>30</v>
      </c>
      <c r="Q150" s="41" t="s">
        <v>254</v>
      </c>
    </row>
    <row r="151" spans="1:17" ht="15.75" customHeight="1">
      <c r="A151" s="128" t="s">
        <v>25</v>
      </c>
      <c r="B151" s="128" t="s">
        <v>26</v>
      </c>
      <c r="C151" s="48" t="s">
        <v>7</v>
      </c>
      <c r="D151" s="49" t="s">
        <v>11</v>
      </c>
      <c r="E151" s="49" t="s">
        <v>260</v>
      </c>
      <c r="F151" s="49" t="s">
        <v>76</v>
      </c>
      <c r="G151" s="74">
        <v>75000</v>
      </c>
      <c r="H151" s="75">
        <v>45924</v>
      </c>
      <c r="I151" s="19" t="str">
        <f>IF(N151&gt;1,"group","individual")</f>
        <v>individual</v>
      </c>
      <c r="J151" s="76">
        <v>1</v>
      </c>
      <c r="K151" s="49"/>
      <c r="L151" s="128"/>
      <c r="M151" s="128"/>
      <c r="N151" s="19">
        <f>SUM(J151:K151)</f>
        <v>1</v>
      </c>
      <c r="O151" s="19">
        <f>SUM(L151:M151)</f>
        <v>0</v>
      </c>
      <c r="P151" s="73" t="s">
        <v>30</v>
      </c>
      <c r="Q151" s="41" t="s">
        <v>254</v>
      </c>
    </row>
    <row r="152" spans="1:17" ht="15.75" customHeight="1">
      <c r="A152" s="118" t="s">
        <v>25</v>
      </c>
      <c r="B152" s="118" t="s">
        <v>26</v>
      </c>
      <c r="C152" s="45" t="s">
        <v>7</v>
      </c>
      <c r="D152" s="70" t="s">
        <v>261</v>
      </c>
      <c r="E152" s="70" t="s">
        <v>262</v>
      </c>
      <c r="F152" s="70" t="s">
        <v>70</v>
      </c>
      <c r="G152" s="67">
        <v>75000</v>
      </c>
      <c r="H152" s="71" t="s">
        <v>256</v>
      </c>
      <c r="I152" s="19" t="str">
        <f>IF(N152&gt;1,"group","individual")</f>
        <v>individual</v>
      </c>
      <c r="J152" s="70"/>
      <c r="K152" s="69">
        <v>1</v>
      </c>
      <c r="L152" s="118"/>
      <c r="M152" s="118"/>
      <c r="N152" s="19">
        <f>SUM(J152:K152)</f>
        <v>1</v>
      </c>
      <c r="O152" s="19">
        <f>SUM(L152:M152)</f>
        <v>0</v>
      </c>
      <c r="P152" s="73" t="s">
        <v>30</v>
      </c>
      <c r="Q152" s="41" t="s">
        <v>254</v>
      </c>
    </row>
    <row r="153" spans="1:17" ht="15.75" customHeight="1">
      <c r="A153" s="13" t="s">
        <v>25</v>
      </c>
      <c r="B153" s="13" t="s">
        <v>26</v>
      </c>
      <c r="C153" s="45" t="s">
        <v>7</v>
      </c>
      <c r="D153" s="15" t="s">
        <v>261</v>
      </c>
      <c r="E153" s="15" t="s">
        <v>263</v>
      </c>
      <c r="F153" s="15" t="s">
        <v>264</v>
      </c>
      <c r="G153" s="67">
        <v>75000</v>
      </c>
      <c r="H153" s="71" t="s">
        <v>256</v>
      </c>
      <c r="I153" s="19" t="str">
        <f>IF(N153&gt;1,"group","individual")</f>
        <v>individual</v>
      </c>
      <c r="J153" s="69">
        <v>1</v>
      </c>
      <c r="K153" s="70"/>
      <c r="L153" s="21"/>
      <c r="M153" s="21"/>
      <c r="N153" s="19">
        <f>SUM(J153:K153)</f>
        <v>1</v>
      </c>
      <c r="O153" s="19">
        <f>SUM(L153:M153)</f>
        <v>0</v>
      </c>
      <c r="P153" s="73" t="s">
        <v>30</v>
      </c>
      <c r="Q153" s="41" t="s">
        <v>254</v>
      </c>
    </row>
    <row r="154" spans="1:17" ht="15.75" customHeight="1">
      <c r="A154" s="44" t="s">
        <v>25</v>
      </c>
      <c r="B154" s="44" t="s">
        <v>26</v>
      </c>
      <c r="C154" s="45" t="s">
        <v>7</v>
      </c>
      <c r="D154" s="15" t="s">
        <v>261</v>
      </c>
      <c r="E154" s="15" t="s">
        <v>265</v>
      </c>
      <c r="F154" s="15" t="s">
        <v>266</v>
      </c>
      <c r="G154" s="67">
        <v>75000</v>
      </c>
      <c r="H154" s="71" t="s">
        <v>256</v>
      </c>
      <c r="I154" s="19" t="str">
        <f>IF(N154&gt;1,"group","individual")</f>
        <v>individual</v>
      </c>
      <c r="J154" s="70"/>
      <c r="K154" s="69">
        <v>1</v>
      </c>
      <c r="L154" s="21"/>
      <c r="M154" s="21"/>
      <c r="N154" s="19">
        <f>SUM(J154:K154)</f>
        <v>1</v>
      </c>
      <c r="O154" s="19">
        <f>SUM(L154:M154)</f>
        <v>0</v>
      </c>
      <c r="P154" s="73" t="s">
        <v>30</v>
      </c>
      <c r="Q154" s="41" t="s">
        <v>254</v>
      </c>
    </row>
    <row r="155" spans="1:17" ht="15.75" customHeight="1">
      <c r="A155" s="118" t="s">
        <v>25</v>
      </c>
      <c r="B155" s="118" t="s">
        <v>26</v>
      </c>
      <c r="C155" s="45" t="s">
        <v>7</v>
      </c>
      <c r="D155" s="70" t="s">
        <v>261</v>
      </c>
      <c r="E155" s="70" t="s">
        <v>267</v>
      </c>
      <c r="F155" s="70" t="s">
        <v>70</v>
      </c>
      <c r="G155" s="67">
        <v>150000</v>
      </c>
      <c r="H155" s="71" t="s">
        <v>256</v>
      </c>
      <c r="I155" s="19" t="str">
        <f>IF(N155&gt;1,"group","individual")</f>
        <v>group</v>
      </c>
      <c r="J155" s="70"/>
      <c r="K155" s="69">
        <v>2</v>
      </c>
      <c r="L155" s="118"/>
      <c r="M155" s="118"/>
      <c r="N155" s="19">
        <f>SUM(J155:K155)</f>
        <v>2</v>
      </c>
      <c r="O155" s="19">
        <f>SUM(L155:M155)</f>
        <v>0</v>
      </c>
      <c r="P155" s="73" t="s">
        <v>30</v>
      </c>
      <c r="Q155" s="41" t="s">
        <v>268</v>
      </c>
    </row>
    <row r="156" spans="1:17" ht="15.75" customHeight="1">
      <c r="A156" s="124" t="s">
        <v>25</v>
      </c>
      <c r="B156" s="124" t="s">
        <v>26</v>
      </c>
      <c r="C156" s="77" t="s">
        <v>7</v>
      </c>
      <c r="D156" s="80" t="s">
        <v>261</v>
      </c>
      <c r="E156" s="80" t="s">
        <v>269</v>
      </c>
      <c r="F156" s="80" t="s">
        <v>70</v>
      </c>
      <c r="G156" s="78">
        <v>75000</v>
      </c>
      <c r="H156" s="79">
        <v>45924</v>
      </c>
      <c r="I156" s="19" t="str">
        <f>IF(N156&gt;1,"group","individual")</f>
        <v>individual</v>
      </c>
      <c r="J156" s="80"/>
      <c r="K156" s="81">
        <v>1</v>
      </c>
      <c r="L156" s="124"/>
      <c r="M156" s="124"/>
      <c r="N156" s="19">
        <f>SUM(J156:K156)</f>
        <v>1</v>
      </c>
      <c r="O156" s="19">
        <f>SUM(L156:M156)</f>
        <v>0</v>
      </c>
      <c r="P156" s="59" t="s">
        <v>30</v>
      </c>
      <c r="Q156" s="23" t="s">
        <v>270</v>
      </c>
    </row>
    <row r="157" spans="1:17" ht="15.75" customHeight="1">
      <c r="A157" s="124" t="s">
        <v>25</v>
      </c>
      <c r="B157" s="124" t="s">
        <v>26</v>
      </c>
      <c r="C157" s="77" t="s">
        <v>7</v>
      </c>
      <c r="D157" s="80" t="s">
        <v>261</v>
      </c>
      <c r="E157" s="80" t="s">
        <v>271</v>
      </c>
      <c r="F157" s="80" t="s">
        <v>272</v>
      </c>
      <c r="G157" s="78">
        <v>75000</v>
      </c>
      <c r="H157" s="79">
        <v>45924</v>
      </c>
      <c r="I157" s="19" t="str">
        <f>IF(N157&gt;1,"group","individual")</f>
        <v>individual</v>
      </c>
      <c r="J157" s="80"/>
      <c r="K157" s="81">
        <v>1</v>
      </c>
      <c r="L157" s="124"/>
      <c r="M157" s="124"/>
      <c r="N157" s="19">
        <f>SUM(J157:K157)</f>
        <v>1</v>
      </c>
      <c r="O157" s="19">
        <f>SUM(L157:M157)</f>
        <v>0</v>
      </c>
      <c r="P157" s="59" t="s">
        <v>30</v>
      </c>
      <c r="Q157" s="23" t="s">
        <v>270</v>
      </c>
    </row>
    <row r="158" spans="1:17" ht="15.75" customHeight="1">
      <c r="A158" s="124" t="s">
        <v>25</v>
      </c>
      <c r="B158" s="124" t="s">
        <v>26</v>
      </c>
      <c r="C158" s="77" t="s">
        <v>7</v>
      </c>
      <c r="D158" s="80" t="s">
        <v>261</v>
      </c>
      <c r="E158" s="80" t="s">
        <v>273</v>
      </c>
      <c r="F158" s="80" t="s">
        <v>274</v>
      </c>
      <c r="G158" s="78">
        <v>150000</v>
      </c>
      <c r="H158" s="79">
        <v>45924</v>
      </c>
      <c r="I158" s="19" t="str">
        <f>IF(N158&gt;1,"group","individual")</f>
        <v>group</v>
      </c>
      <c r="J158" s="81">
        <v>1</v>
      </c>
      <c r="K158" s="81">
        <v>1</v>
      </c>
      <c r="L158" s="124"/>
      <c r="M158" s="124"/>
      <c r="N158" s="19">
        <f>SUM(J158:K158)</f>
        <v>2</v>
      </c>
      <c r="O158" s="19">
        <f>SUM(L158:M158)</f>
        <v>0</v>
      </c>
      <c r="P158" s="59" t="s">
        <v>30</v>
      </c>
      <c r="Q158" s="23" t="s">
        <v>275</v>
      </c>
    </row>
    <row r="159" spans="1:17" ht="15.75" customHeight="1">
      <c r="A159" s="124" t="s">
        <v>25</v>
      </c>
      <c r="B159" s="124" t="s">
        <v>26</v>
      </c>
      <c r="C159" s="77" t="s">
        <v>7</v>
      </c>
      <c r="D159" s="80" t="s">
        <v>261</v>
      </c>
      <c r="E159" s="80" t="s">
        <v>276</v>
      </c>
      <c r="F159" s="80" t="s">
        <v>186</v>
      </c>
      <c r="G159" s="78">
        <v>150000</v>
      </c>
      <c r="H159" s="79">
        <v>45924</v>
      </c>
      <c r="I159" s="19" t="str">
        <f>IF(N159&gt;1,"group","individual")</f>
        <v>individual</v>
      </c>
      <c r="J159" s="80"/>
      <c r="K159" s="81">
        <v>1</v>
      </c>
      <c r="L159" s="124"/>
      <c r="M159" s="124"/>
      <c r="N159" s="19">
        <f>SUM(J159:K159)</f>
        <v>1</v>
      </c>
      <c r="O159" s="19">
        <f>SUM(L159:M159)</f>
        <v>0</v>
      </c>
      <c r="P159" s="59" t="s">
        <v>30</v>
      </c>
      <c r="Q159" s="23" t="s">
        <v>275</v>
      </c>
    </row>
    <row r="160" spans="1:17" ht="15.75" customHeight="1">
      <c r="A160" s="124" t="s">
        <v>25</v>
      </c>
      <c r="B160" s="124" t="s">
        <v>26</v>
      </c>
      <c r="C160" s="77" t="s">
        <v>7</v>
      </c>
      <c r="D160" s="80" t="s">
        <v>261</v>
      </c>
      <c r="E160" s="80" t="s">
        <v>277</v>
      </c>
      <c r="F160" s="80" t="s">
        <v>278</v>
      </c>
      <c r="G160" s="82">
        <v>75000</v>
      </c>
      <c r="H160" s="79">
        <v>45924</v>
      </c>
      <c r="I160" s="19" t="str">
        <f>IF(N160&gt;1,"group","individual")</f>
        <v>individual</v>
      </c>
      <c r="J160" s="80"/>
      <c r="K160" s="81">
        <v>1</v>
      </c>
      <c r="L160" s="124"/>
      <c r="M160" s="124"/>
      <c r="N160" s="19">
        <f>SUM(J160:K160)</f>
        <v>1</v>
      </c>
      <c r="O160" s="19">
        <f>SUM(L160:M160)</f>
        <v>0</v>
      </c>
      <c r="P160" s="59" t="s">
        <v>30</v>
      </c>
      <c r="Q160" s="23" t="s">
        <v>279</v>
      </c>
    </row>
    <row r="161" spans="1:18" ht="15.75" customHeight="1">
      <c r="A161" s="13" t="s">
        <v>25</v>
      </c>
      <c r="B161" s="13" t="s">
        <v>26</v>
      </c>
      <c r="C161" s="45" t="s">
        <v>7</v>
      </c>
      <c r="D161" s="15" t="s">
        <v>280</v>
      </c>
      <c r="E161" s="70" t="s">
        <v>281</v>
      </c>
      <c r="F161" s="15" t="s">
        <v>141</v>
      </c>
      <c r="G161" s="83">
        <v>150000</v>
      </c>
      <c r="H161" s="69" t="s">
        <v>256</v>
      </c>
      <c r="I161" s="19" t="str">
        <f>IF(N161&gt;1,"group","individual")</f>
        <v>group</v>
      </c>
      <c r="J161" s="70"/>
      <c r="K161" s="69">
        <v>2</v>
      </c>
      <c r="L161" s="21"/>
      <c r="M161" s="21"/>
      <c r="N161" s="19">
        <f>SUM(J161:K161)</f>
        <v>2</v>
      </c>
      <c r="O161" s="19">
        <f>SUM(L161:M161)</f>
        <v>0</v>
      </c>
      <c r="P161" s="59" t="s">
        <v>30</v>
      </c>
      <c r="Q161" s="23" t="s">
        <v>282</v>
      </c>
    </row>
    <row r="162" spans="1:18" ht="15.75" customHeight="1">
      <c r="A162" s="13" t="s">
        <v>25</v>
      </c>
      <c r="B162" s="13" t="s">
        <v>26</v>
      </c>
      <c r="C162" s="45" t="s">
        <v>7</v>
      </c>
      <c r="D162" s="15" t="s">
        <v>280</v>
      </c>
      <c r="E162" s="70" t="s">
        <v>283</v>
      </c>
      <c r="F162" s="15" t="s">
        <v>284</v>
      </c>
      <c r="G162" s="83">
        <v>150000</v>
      </c>
      <c r="H162" s="69" t="s">
        <v>256</v>
      </c>
      <c r="I162" s="19" t="str">
        <f>IF(N162&gt;1,"group","individual")</f>
        <v>group</v>
      </c>
      <c r="J162" s="70"/>
      <c r="K162" s="69">
        <v>2</v>
      </c>
      <c r="L162" s="21"/>
      <c r="M162" s="21"/>
      <c r="N162" s="19">
        <f>SUM(J162:K162)</f>
        <v>2</v>
      </c>
      <c r="O162" s="19">
        <f>SUM(L162:M162)</f>
        <v>0</v>
      </c>
      <c r="P162" s="59" t="s">
        <v>30</v>
      </c>
      <c r="Q162" s="23" t="s">
        <v>285</v>
      </c>
    </row>
    <row r="163" spans="1:18" ht="15.75" customHeight="1">
      <c r="A163" s="13" t="s">
        <v>25</v>
      </c>
      <c r="B163" s="13" t="s">
        <v>26</v>
      </c>
      <c r="C163" s="45" t="s">
        <v>7</v>
      </c>
      <c r="D163" s="15" t="s">
        <v>280</v>
      </c>
      <c r="E163" s="70" t="s">
        <v>286</v>
      </c>
      <c r="F163" s="15" t="s">
        <v>141</v>
      </c>
      <c r="G163" s="83">
        <v>150000</v>
      </c>
      <c r="H163" s="69" t="s">
        <v>256</v>
      </c>
      <c r="I163" s="19" t="str">
        <f>IF(N163&gt;1,"group","individual")</f>
        <v>group</v>
      </c>
      <c r="J163" s="70"/>
      <c r="K163" s="69">
        <v>2</v>
      </c>
      <c r="L163" s="21"/>
      <c r="M163" s="21"/>
      <c r="N163" s="19">
        <f>SUM(J163:K163)</f>
        <v>2</v>
      </c>
      <c r="O163" s="19">
        <f>SUM(L163:M163)</f>
        <v>0</v>
      </c>
      <c r="P163" s="59" t="s">
        <v>30</v>
      </c>
      <c r="Q163" s="23" t="s">
        <v>285</v>
      </c>
    </row>
    <row r="164" spans="1:18" ht="15.75" customHeight="1">
      <c r="A164" s="13" t="s">
        <v>25</v>
      </c>
      <c r="B164" s="13" t="s">
        <v>26</v>
      </c>
      <c r="C164" s="45" t="s">
        <v>7</v>
      </c>
      <c r="D164" s="15" t="s">
        <v>280</v>
      </c>
      <c r="E164" s="70" t="s">
        <v>287</v>
      </c>
      <c r="F164" s="15" t="s">
        <v>37</v>
      </c>
      <c r="G164" s="67">
        <v>150000</v>
      </c>
      <c r="H164" s="68">
        <v>45919</v>
      </c>
      <c r="I164" s="19" t="str">
        <f>IF(N164&gt;1,"group","individual")</f>
        <v>group</v>
      </c>
      <c r="J164" s="69">
        <v>1</v>
      </c>
      <c r="K164" s="69">
        <v>1</v>
      </c>
      <c r="L164" s="21"/>
      <c r="M164" s="21"/>
      <c r="N164" s="19">
        <f>SUM(J164:K164)</f>
        <v>2</v>
      </c>
      <c r="O164" s="19">
        <f>SUM(L164:M164)</f>
        <v>0</v>
      </c>
      <c r="P164" s="59" t="s">
        <v>30</v>
      </c>
      <c r="Q164" s="23" t="s">
        <v>111</v>
      </c>
    </row>
    <row r="165" spans="1:18" ht="15.75" customHeight="1">
      <c r="A165" s="124" t="s">
        <v>25</v>
      </c>
      <c r="B165" s="124" t="s">
        <v>26</v>
      </c>
      <c r="C165" s="77" t="s">
        <v>7</v>
      </c>
      <c r="D165" s="80" t="s">
        <v>280</v>
      </c>
      <c r="E165" s="80" t="s">
        <v>288</v>
      </c>
      <c r="F165" s="80" t="s">
        <v>63</v>
      </c>
      <c r="G165" s="78">
        <v>150000</v>
      </c>
      <c r="H165" s="79">
        <v>45924</v>
      </c>
      <c r="I165" s="19" t="str">
        <f>IF(N165&gt;1,"group","individual")</f>
        <v>group</v>
      </c>
      <c r="J165" s="81">
        <v>1</v>
      </c>
      <c r="K165" s="81">
        <v>1</v>
      </c>
      <c r="L165" s="124"/>
      <c r="M165" s="124"/>
      <c r="N165" s="19">
        <f>SUM(J165:K165)</f>
        <v>2</v>
      </c>
      <c r="O165" s="19">
        <f>SUM(L165:M165)</f>
        <v>0</v>
      </c>
      <c r="P165" s="59" t="s">
        <v>30</v>
      </c>
      <c r="Q165" s="23" t="s">
        <v>111</v>
      </c>
    </row>
    <row r="166" spans="1:18" ht="15.75" customHeight="1">
      <c r="A166" s="132" t="s">
        <v>25</v>
      </c>
      <c r="B166" s="132" t="s">
        <v>26</v>
      </c>
      <c r="C166" s="132" t="s">
        <v>7</v>
      </c>
      <c r="D166" s="132" t="s">
        <v>11</v>
      </c>
      <c r="E166" s="132" t="s">
        <v>701</v>
      </c>
      <c r="F166" s="132" t="s">
        <v>702</v>
      </c>
      <c r="G166" s="133">
        <v>75000</v>
      </c>
      <c r="H166" s="131">
        <v>45930</v>
      </c>
      <c r="I166" s="19" t="str">
        <f>IF(N166&gt;1,"group","individual")</f>
        <v>individual</v>
      </c>
      <c r="J166" s="132"/>
      <c r="K166" s="133">
        <v>1</v>
      </c>
      <c r="L166" s="132"/>
      <c r="M166" s="132"/>
      <c r="N166" s="19">
        <f>SUM(J166:K166)</f>
        <v>1</v>
      </c>
      <c r="O166" s="19">
        <f>SUM(L166:M166)</f>
        <v>0</v>
      </c>
      <c r="P166" s="176"/>
      <c r="Q166" s="184" t="s">
        <v>30</v>
      </c>
      <c r="R166" s="194">
        <v>45959</v>
      </c>
    </row>
    <row r="167" spans="1:18" ht="15.75" customHeight="1">
      <c r="A167" s="132" t="s">
        <v>25</v>
      </c>
      <c r="B167" s="132" t="s">
        <v>26</v>
      </c>
      <c r="C167" s="132" t="s">
        <v>7</v>
      </c>
      <c r="D167" s="132" t="s">
        <v>11</v>
      </c>
      <c r="E167" s="132" t="s">
        <v>703</v>
      </c>
      <c r="F167" s="132" t="s">
        <v>704</v>
      </c>
      <c r="G167" s="133">
        <v>75000</v>
      </c>
      <c r="H167" s="131">
        <v>45930</v>
      </c>
      <c r="I167" s="19" t="str">
        <f>IF(N167&gt;1,"group","individual")</f>
        <v>individual</v>
      </c>
      <c r="J167" s="133">
        <v>1</v>
      </c>
      <c r="K167" s="132"/>
      <c r="L167" s="132"/>
      <c r="M167" s="132"/>
      <c r="N167" s="19">
        <f>SUM(J167:K167)</f>
        <v>1</v>
      </c>
      <c r="O167" s="19">
        <f>SUM(L167:M167)</f>
        <v>0</v>
      </c>
      <c r="P167" s="176"/>
      <c r="Q167" s="184" t="s">
        <v>30</v>
      </c>
      <c r="R167" s="194">
        <v>45959</v>
      </c>
    </row>
    <row r="168" spans="1:18" ht="15.75" customHeight="1">
      <c r="A168" s="132" t="s">
        <v>25</v>
      </c>
      <c r="B168" s="132" t="s">
        <v>26</v>
      </c>
      <c r="C168" s="132" t="s">
        <v>7</v>
      </c>
      <c r="D168" s="132" t="s">
        <v>8</v>
      </c>
      <c r="E168" s="132" t="s">
        <v>705</v>
      </c>
      <c r="F168" s="132" t="s">
        <v>706</v>
      </c>
      <c r="G168" s="133">
        <v>225000</v>
      </c>
      <c r="H168" s="131">
        <v>45930</v>
      </c>
      <c r="I168" s="19" t="str">
        <f>IF(N168&gt;1,"group","individual")</f>
        <v>group</v>
      </c>
      <c r="J168" s="132"/>
      <c r="K168" s="133">
        <v>3</v>
      </c>
      <c r="L168" s="132"/>
      <c r="M168" s="132"/>
      <c r="N168" s="19">
        <f>SUM(J168:K168)</f>
        <v>3</v>
      </c>
      <c r="O168" s="19">
        <f>SUM(L168:M168)</f>
        <v>0</v>
      </c>
      <c r="P168" s="176"/>
      <c r="Q168" s="184" t="s">
        <v>30</v>
      </c>
      <c r="R168" s="194">
        <v>45959</v>
      </c>
    </row>
    <row r="169" spans="1:18" ht="15.75" customHeight="1">
      <c r="A169" s="132" t="s">
        <v>25</v>
      </c>
      <c r="B169" s="132" t="s">
        <v>26</v>
      </c>
      <c r="C169" s="132" t="s">
        <v>7</v>
      </c>
      <c r="D169" s="132" t="s">
        <v>8</v>
      </c>
      <c r="E169" s="132" t="s">
        <v>707</v>
      </c>
      <c r="F169" s="132" t="s">
        <v>308</v>
      </c>
      <c r="G169" s="133">
        <v>225000</v>
      </c>
      <c r="H169" s="131">
        <v>45930</v>
      </c>
      <c r="I169" s="19" t="str">
        <f>IF(N169&gt;1,"group","individual")</f>
        <v>group</v>
      </c>
      <c r="J169" s="133">
        <v>1</v>
      </c>
      <c r="K169" s="133">
        <v>2</v>
      </c>
      <c r="L169" s="132"/>
      <c r="M169" s="132"/>
      <c r="N169" s="19">
        <f>SUM(J169:K169)</f>
        <v>3</v>
      </c>
      <c r="O169" s="19">
        <f>SUM(L169:M169)</f>
        <v>0</v>
      </c>
      <c r="P169" s="176"/>
      <c r="Q169" s="184" t="s">
        <v>30</v>
      </c>
      <c r="R169" s="194">
        <v>45959</v>
      </c>
    </row>
    <row r="170" spans="1:18" ht="15.75" customHeight="1">
      <c r="A170" s="132" t="s">
        <v>25</v>
      </c>
      <c r="B170" s="132" t="s">
        <v>26</v>
      </c>
      <c r="C170" s="132" t="s">
        <v>7</v>
      </c>
      <c r="D170" s="132" t="s">
        <v>8</v>
      </c>
      <c r="E170" s="132" t="s">
        <v>708</v>
      </c>
      <c r="F170" s="132" t="s">
        <v>186</v>
      </c>
      <c r="G170" s="133">
        <v>75000</v>
      </c>
      <c r="H170" s="131">
        <v>45930</v>
      </c>
      <c r="I170" s="19" t="str">
        <f>IF(N170&gt;1,"group","individual")</f>
        <v>individual</v>
      </c>
      <c r="J170" s="132"/>
      <c r="K170" s="133">
        <v>1</v>
      </c>
      <c r="L170" s="132"/>
      <c r="M170" s="132"/>
      <c r="N170" s="19">
        <f>SUM(J170:K170)</f>
        <v>1</v>
      </c>
      <c r="O170" s="19">
        <f>SUM(L170:M170)</f>
        <v>0</v>
      </c>
      <c r="P170" s="176"/>
      <c r="Q170" s="184" t="s">
        <v>30</v>
      </c>
      <c r="R170" s="194">
        <v>45959</v>
      </c>
    </row>
    <row r="171" spans="1:18" ht="15.75" customHeight="1">
      <c r="A171" s="132" t="s">
        <v>25</v>
      </c>
      <c r="B171" s="132" t="s">
        <v>26</v>
      </c>
      <c r="C171" s="132" t="s">
        <v>7</v>
      </c>
      <c r="D171" s="132" t="s">
        <v>8</v>
      </c>
      <c r="E171" s="132" t="s">
        <v>709</v>
      </c>
      <c r="F171" s="132" t="s">
        <v>586</v>
      </c>
      <c r="G171" s="133">
        <v>75000</v>
      </c>
      <c r="H171" s="131">
        <v>45930</v>
      </c>
      <c r="I171" s="19" t="str">
        <f>IF(N171&gt;1,"group","individual")</f>
        <v>individual</v>
      </c>
      <c r="J171" s="132"/>
      <c r="K171" s="133">
        <v>1</v>
      </c>
      <c r="L171" s="132"/>
      <c r="M171" s="132"/>
      <c r="N171" s="19">
        <f>SUM(J171:K171)</f>
        <v>1</v>
      </c>
      <c r="O171" s="19">
        <f>SUM(L171:M171)</f>
        <v>0</v>
      </c>
      <c r="P171" s="176"/>
      <c r="Q171" s="184" t="s">
        <v>30</v>
      </c>
      <c r="R171" s="194">
        <v>45959</v>
      </c>
    </row>
    <row r="172" spans="1:18" ht="15.75" customHeight="1">
      <c r="A172" s="132" t="s">
        <v>25</v>
      </c>
      <c r="B172" s="132" t="s">
        <v>26</v>
      </c>
      <c r="C172" s="132" t="s">
        <v>7</v>
      </c>
      <c r="D172" s="132" t="s">
        <v>8</v>
      </c>
      <c r="E172" s="132" t="s">
        <v>710</v>
      </c>
      <c r="F172" s="132" t="s">
        <v>294</v>
      </c>
      <c r="G172" s="133">
        <v>75000</v>
      </c>
      <c r="H172" s="131">
        <v>45930</v>
      </c>
      <c r="I172" s="19" t="str">
        <f>IF(N172&gt;1,"group","individual")</f>
        <v>individual</v>
      </c>
      <c r="J172" s="132"/>
      <c r="K172" s="133">
        <v>1</v>
      </c>
      <c r="L172" s="132"/>
      <c r="M172" s="132"/>
      <c r="N172" s="19">
        <f>SUM(J172:K172)</f>
        <v>1</v>
      </c>
      <c r="O172" s="19">
        <f>SUM(L172:M172)</f>
        <v>0</v>
      </c>
      <c r="P172" s="176"/>
      <c r="Q172" s="184" t="s">
        <v>30</v>
      </c>
      <c r="R172" s="194">
        <v>45959</v>
      </c>
    </row>
    <row r="173" spans="1:18" ht="15.75" customHeight="1">
      <c r="A173" s="132" t="s">
        <v>25</v>
      </c>
      <c r="B173" s="132" t="s">
        <v>26</v>
      </c>
      <c r="C173" s="132" t="s">
        <v>7</v>
      </c>
      <c r="D173" s="132" t="s">
        <v>10</v>
      </c>
      <c r="E173" s="132" t="s">
        <v>711</v>
      </c>
      <c r="F173" s="144" t="s">
        <v>712</v>
      </c>
      <c r="G173" s="133">
        <v>150000</v>
      </c>
      <c r="H173" s="131">
        <v>45930</v>
      </c>
      <c r="I173" s="19" t="str">
        <f>IF(N173&gt;1,"group","individual")</f>
        <v>group</v>
      </c>
      <c r="J173" s="133">
        <v>1</v>
      </c>
      <c r="K173" s="133">
        <v>1</v>
      </c>
      <c r="L173" s="132"/>
      <c r="M173" s="132"/>
      <c r="N173" s="19">
        <f>SUM(J173:K173)</f>
        <v>2</v>
      </c>
      <c r="O173" s="19">
        <f>SUM(L173:M173)</f>
        <v>0</v>
      </c>
      <c r="P173" s="176"/>
      <c r="Q173" s="184" t="s">
        <v>30</v>
      </c>
      <c r="R173" s="194">
        <v>45959</v>
      </c>
    </row>
    <row r="174" spans="1:18" ht="15.75" customHeight="1">
      <c r="A174" s="132" t="s">
        <v>25</v>
      </c>
      <c r="B174" s="132" t="s">
        <v>26</v>
      </c>
      <c r="C174" s="132" t="s">
        <v>7</v>
      </c>
      <c r="D174" s="132" t="s">
        <v>10</v>
      </c>
      <c r="E174" s="144" t="s">
        <v>713</v>
      </c>
      <c r="F174" s="132" t="s">
        <v>654</v>
      </c>
      <c r="G174" s="133">
        <v>150000</v>
      </c>
      <c r="H174" s="131">
        <v>45930</v>
      </c>
      <c r="I174" s="19" t="str">
        <f>IF(N174&gt;1,"group","individual")</f>
        <v>group</v>
      </c>
      <c r="J174" s="132"/>
      <c r="K174" s="133">
        <v>2</v>
      </c>
      <c r="L174" s="132"/>
      <c r="M174" s="132"/>
      <c r="N174" s="19">
        <f>SUM(J174:K174)</f>
        <v>2</v>
      </c>
      <c r="O174" s="19">
        <f>SUM(L174:M174)</f>
        <v>0</v>
      </c>
      <c r="P174" s="176" t="s">
        <v>647</v>
      </c>
      <c r="Q174" s="184"/>
      <c r="R174" s="194">
        <v>45959</v>
      </c>
    </row>
    <row r="175" spans="1:18" ht="15.75" customHeight="1">
      <c r="A175" s="132" t="s">
        <v>25</v>
      </c>
      <c r="B175" s="132" t="s">
        <v>26</v>
      </c>
      <c r="C175" s="132" t="s">
        <v>9</v>
      </c>
      <c r="D175" s="132" t="s">
        <v>12</v>
      </c>
      <c r="E175" s="132" t="s">
        <v>714</v>
      </c>
      <c r="F175" s="132" t="s">
        <v>186</v>
      </c>
      <c r="G175" s="133">
        <v>150000</v>
      </c>
      <c r="H175" s="131">
        <v>45930</v>
      </c>
      <c r="I175" s="19" t="str">
        <f>IF(N175&gt;1,"group","individual")</f>
        <v>group</v>
      </c>
      <c r="J175" s="133">
        <v>1</v>
      </c>
      <c r="K175" s="133">
        <v>1</v>
      </c>
      <c r="L175" s="132"/>
      <c r="M175" s="132"/>
      <c r="N175" s="19">
        <f>SUM(J175:K175)</f>
        <v>2</v>
      </c>
      <c r="O175" s="19">
        <f>SUM(L175:M175)</f>
        <v>0</v>
      </c>
      <c r="P175" s="176" t="s">
        <v>647</v>
      </c>
      <c r="Q175" s="184"/>
      <c r="R175" s="194">
        <v>45959</v>
      </c>
    </row>
    <row r="176" spans="1:18" ht="15.75" customHeight="1">
      <c r="A176" s="132" t="s">
        <v>25</v>
      </c>
      <c r="B176" s="132" t="s">
        <v>26</v>
      </c>
      <c r="C176" s="132" t="s">
        <v>9</v>
      </c>
      <c r="D176" s="132" t="s">
        <v>12</v>
      </c>
      <c r="E176" s="132" t="s">
        <v>715</v>
      </c>
      <c r="F176" s="132" t="s">
        <v>186</v>
      </c>
      <c r="G176" s="133">
        <v>150000</v>
      </c>
      <c r="H176" s="131">
        <v>45930</v>
      </c>
      <c r="I176" s="19" t="str">
        <f>IF(N176&gt;1,"group","individual")</f>
        <v>group</v>
      </c>
      <c r="J176" s="133">
        <v>1</v>
      </c>
      <c r="K176" s="133">
        <v>1</v>
      </c>
      <c r="L176" s="132"/>
      <c r="M176" s="132"/>
      <c r="N176" s="19">
        <f>SUM(J176:K176)</f>
        <v>2</v>
      </c>
      <c r="O176" s="19">
        <f>SUM(L176:M176)</f>
        <v>0</v>
      </c>
      <c r="P176" s="176"/>
      <c r="Q176" s="184" t="s">
        <v>30</v>
      </c>
      <c r="R176" s="194">
        <v>45959</v>
      </c>
    </row>
    <row r="177" spans="1:18" ht="15.75" customHeight="1">
      <c r="A177" s="132" t="s">
        <v>25</v>
      </c>
      <c r="B177" s="132" t="s">
        <v>26</v>
      </c>
      <c r="C177" s="132" t="s">
        <v>9</v>
      </c>
      <c r="D177" s="132" t="s">
        <v>12</v>
      </c>
      <c r="E177" s="132" t="s">
        <v>716</v>
      </c>
      <c r="F177" s="132" t="s">
        <v>544</v>
      </c>
      <c r="G177" s="133">
        <v>150000</v>
      </c>
      <c r="H177" s="131">
        <v>45930</v>
      </c>
      <c r="I177" s="19" t="str">
        <f>IF(N177&gt;1,"group","individual")</f>
        <v>group</v>
      </c>
      <c r="J177" s="132"/>
      <c r="K177" s="133">
        <v>2</v>
      </c>
      <c r="L177" s="132"/>
      <c r="M177" s="132"/>
      <c r="N177" s="19">
        <f>SUM(J177:K177)</f>
        <v>2</v>
      </c>
      <c r="O177" s="19">
        <f>SUM(L177:M177)</f>
        <v>0</v>
      </c>
      <c r="P177" s="176" t="s">
        <v>647</v>
      </c>
      <c r="Q177" s="184"/>
      <c r="R177" s="194">
        <v>45959</v>
      </c>
    </row>
    <row r="178" spans="1:18" ht="15.75" customHeight="1">
      <c r="A178" s="132" t="s">
        <v>25</v>
      </c>
      <c r="B178" s="132" t="s">
        <v>26</v>
      </c>
      <c r="C178" s="132" t="s">
        <v>9</v>
      </c>
      <c r="D178" s="132" t="s">
        <v>12</v>
      </c>
      <c r="E178" s="132" t="s">
        <v>717</v>
      </c>
      <c r="F178" s="132" t="s">
        <v>718</v>
      </c>
      <c r="G178" s="133">
        <v>150000</v>
      </c>
      <c r="H178" s="131">
        <v>45930</v>
      </c>
      <c r="I178" s="19" t="str">
        <f>IF(N178&gt;1,"group","individual")</f>
        <v>group</v>
      </c>
      <c r="J178" s="133">
        <v>2</v>
      </c>
      <c r="K178" s="132"/>
      <c r="L178" s="132"/>
      <c r="M178" s="132"/>
      <c r="N178" s="19">
        <f>SUM(J178:K178)</f>
        <v>2</v>
      </c>
      <c r="O178" s="19">
        <f>SUM(L178:M178)</f>
        <v>0</v>
      </c>
      <c r="P178" s="176" t="s">
        <v>647</v>
      </c>
      <c r="Q178" s="184"/>
      <c r="R178" s="194">
        <v>45959</v>
      </c>
    </row>
    <row r="179" spans="1:18" ht="15.75" customHeight="1">
      <c r="A179" s="132" t="s">
        <v>25</v>
      </c>
      <c r="B179" s="132" t="s">
        <v>26</v>
      </c>
      <c r="C179" s="132" t="s">
        <v>9</v>
      </c>
      <c r="D179" s="132" t="s">
        <v>12</v>
      </c>
      <c r="E179" s="132" t="s">
        <v>719</v>
      </c>
      <c r="F179" s="132" t="s">
        <v>186</v>
      </c>
      <c r="G179" s="133">
        <v>150000</v>
      </c>
      <c r="H179" s="131">
        <v>45930</v>
      </c>
      <c r="I179" s="19" t="str">
        <f>IF(N179&gt;1,"group","individual")</f>
        <v>group</v>
      </c>
      <c r="J179" s="133">
        <v>1</v>
      </c>
      <c r="K179" s="133">
        <v>1</v>
      </c>
      <c r="L179" s="132"/>
      <c r="M179" s="132"/>
      <c r="N179" s="19">
        <f>SUM(J179:K179)</f>
        <v>2</v>
      </c>
      <c r="O179" s="19">
        <f>SUM(L179:M179)</f>
        <v>0</v>
      </c>
      <c r="P179" s="174"/>
      <c r="Q179" s="183"/>
    </row>
    <row r="180" spans="1:18" ht="15.75" customHeight="1">
      <c r="A180" s="13" t="s">
        <v>25</v>
      </c>
      <c r="B180" s="13" t="s">
        <v>26</v>
      </c>
      <c r="C180" s="13" t="s">
        <v>9</v>
      </c>
      <c r="D180" s="15" t="s">
        <v>289</v>
      </c>
      <c r="E180" s="70" t="s">
        <v>290</v>
      </c>
      <c r="F180" s="15" t="s">
        <v>291</v>
      </c>
      <c r="G180" s="17">
        <v>225000</v>
      </c>
      <c r="H180" s="18">
        <v>45731</v>
      </c>
      <c r="I180" s="19" t="str">
        <f>IF(N180&gt;1,"group","individual")</f>
        <v>group</v>
      </c>
      <c r="J180" s="69">
        <v>1</v>
      </c>
      <c r="K180" s="69">
        <v>4</v>
      </c>
      <c r="L180" s="21"/>
      <c r="M180" s="21"/>
      <c r="N180" s="19">
        <f>SUM(J180:K180)</f>
        <v>5</v>
      </c>
      <c r="O180" s="19">
        <f>SUM(L180:M180)</f>
        <v>0</v>
      </c>
      <c r="P180" s="22" t="s">
        <v>30</v>
      </c>
      <c r="Q180" s="23" t="s">
        <v>292</v>
      </c>
    </row>
    <row r="181" spans="1:18" ht="15.75" customHeight="1">
      <c r="A181" s="13" t="s">
        <v>25</v>
      </c>
      <c r="B181" s="13" t="s">
        <v>26</v>
      </c>
      <c r="C181" s="13" t="s">
        <v>9</v>
      </c>
      <c r="D181" s="15" t="s">
        <v>289</v>
      </c>
      <c r="E181" s="70" t="s">
        <v>293</v>
      </c>
      <c r="F181" s="15" t="s">
        <v>294</v>
      </c>
      <c r="G181" s="17">
        <v>225000</v>
      </c>
      <c r="H181" s="18">
        <v>45731</v>
      </c>
      <c r="I181" s="19" t="str">
        <f>IF(N181&gt;1,"group","individual")</f>
        <v>group</v>
      </c>
      <c r="J181" s="69">
        <v>1</v>
      </c>
      <c r="K181" s="69">
        <v>4</v>
      </c>
      <c r="L181" s="21"/>
      <c r="M181" s="21"/>
      <c r="N181" s="19">
        <f>SUM(J181:K181)</f>
        <v>5</v>
      </c>
      <c r="O181" s="19">
        <f>SUM(L181:M181)</f>
        <v>0</v>
      </c>
      <c r="P181" s="22" t="s">
        <v>30</v>
      </c>
      <c r="Q181" s="23" t="s">
        <v>103</v>
      </c>
    </row>
    <row r="182" spans="1:18" ht="15.75" customHeight="1">
      <c r="A182" s="13" t="s">
        <v>25</v>
      </c>
      <c r="B182" s="13" t="s">
        <v>26</v>
      </c>
      <c r="C182" s="13" t="s">
        <v>9</v>
      </c>
      <c r="D182" s="15" t="s">
        <v>289</v>
      </c>
      <c r="E182" s="70" t="s">
        <v>295</v>
      </c>
      <c r="F182" s="15" t="s">
        <v>191</v>
      </c>
      <c r="G182" s="17">
        <v>225000</v>
      </c>
      <c r="H182" s="18">
        <v>45757</v>
      </c>
      <c r="I182" s="19" t="str">
        <f>IF(N182&gt;1,"group","individual")</f>
        <v>individual</v>
      </c>
      <c r="J182" s="70"/>
      <c r="K182" s="69">
        <v>1</v>
      </c>
      <c r="L182" s="21"/>
      <c r="M182" s="21"/>
      <c r="N182" s="19">
        <f>SUM(J182:K182)</f>
        <v>1</v>
      </c>
      <c r="O182" s="19">
        <f>SUM(L182:M182)</f>
        <v>0</v>
      </c>
      <c r="P182" s="38" t="s">
        <v>30</v>
      </c>
      <c r="Q182" s="39" t="s">
        <v>139</v>
      </c>
    </row>
    <row r="183" spans="1:18" ht="15.75" customHeight="1">
      <c r="A183" s="13" t="s">
        <v>25</v>
      </c>
      <c r="B183" s="13" t="s">
        <v>26</v>
      </c>
      <c r="C183" s="13" t="s">
        <v>9</v>
      </c>
      <c r="D183" s="15" t="s">
        <v>289</v>
      </c>
      <c r="E183" s="70" t="s">
        <v>296</v>
      </c>
      <c r="F183" s="15" t="s">
        <v>294</v>
      </c>
      <c r="G183" s="17">
        <v>22500</v>
      </c>
      <c r="H183" s="18">
        <v>45757</v>
      </c>
      <c r="I183" s="19" t="str">
        <f>IF(N183&gt;1,"group","individual")</f>
        <v>individual</v>
      </c>
      <c r="J183" s="70"/>
      <c r="K183" s="69">
        <v>1</v>
      </c>
      <c r="L183" s="21"/>
      <c r="M183" s="21"/>
      <c r="N183" s="19">
        <f>SUM(J183:K183)</f>
        <v>1</v>
      </c>
      <c r="O183" s="19">
        <f>SUM(L183:M183)</f>
        <v>0</v>
      </c>
      <c r="P183" s="38" t="s">
        <v>30</v>
      </c>
      <c r="Q183" s="39" t="s">
        <v>139</v>
      </c>
    </row>
    <row r="184" spans="1:18" ht="15.75" customHeight="1">
      <c r="A184" s="13" t="s">
        <v>25</v>
      </c>
      <c r="B184" s="13" t="s">
        <v>26</v>
      </c>
      <c r="C184" s="13" t="s">
        <v>9</v>
      </c>
      <c r="D184" s="15" t="s">
        <v>289</v>
      </c>
      <c r="E184" s="70" t="s">
        <v>297</v>
      </c>
      <c r="F184" s="15" t="s">
        <v>253</v>
      </c>
      <c r="G184" s="71">
        <v>225000</v>
      </c>
      <c r="H184" s="18">
        <v>45807</v>
      </c>
      <c r="I184" s="19" t="str">
        <f>IF(N184&gt;1,"group","individual")</f>
        <v>individual</v>
      </c>
      <c r="J184" s="69">
        <v>1</v>
      </c>
      <c r="K184" s="69">
        <v>0</v>
      </c>
      <c r="L184" s="21"/>
      <c r="M184" s="21"/>
      <c r="N184" s="19">
        <f>SUM(J184:K184)</f>
        <v>1</v>
      </c>
      <c r="O184" s="19">
        <f>SUM(L184:M184)</f>
        <v>0</v>
      </c>
      <c r="P184" s="38" t="s">
        <v>30</v>
      </c>
      <c r="Q184" s="39" t="s">
        <v>139</v>
      </c>
    </row>
    <row r="185" spans="1:18" ht="15.75" customHeight="1">
      <c r="A185" s="13" t="s">
        <v>25</v>
      </c>
      <c r="B185" s="13" t="s">
        <v>26</v>
      </c>
      <c r="C185" s="13" t="s">
        <v>9</v>
      </c>
      <c r="D185" s="15" t="s">
        <v>289</v>
      </c>
      <c r="E185" s="70" t="s">
        <v>298</v>
      </c>
      <c r="F185" s="15" t="s">
        <v>299</v>
      </c>
      <c r="G185" s="71">
        <v>225000</v>
      </c>
      <c r="H185" s="42">
        <v>45813</v>
      </c>
      <c r="I185" s="19" t="str">
        <f>IF(N185&gt;1,"group","individual")</f>
        <v>individual</v>
      </c>
      <c r="J185" s="69">
        <v>1</v>
      </c>
      <c r="K185" s="69">
        <v>0</v>
      </c>
      <c r="L185" s="21"/>
      <c r="M185" s="21"/>
      <c r="N185" s="19">
        <f>SUM(J185:K185)</f>
        <v>1</v>
      </c>
      <c r="O185" s="19">
        <f>SUM(L185:M185)</f>
        <v>0</v>
      </c>
      <c r="P185" s="38" t="s">
        <v>30</v>
      </c>
      <c r="Q185" s="39" t="s">
        <v>300</v>
      </c>
    </row>
    <row r="186" spans="1:18" ht="15.75" customHeight="1">
      <c r="A186" s="13" t="s">
        <v>25</v>
      </c>
      <c r="B186" s="13" t="s">
        <v>26</v>
      </c>
      <c r="C186" s="13" t="s">
        <v>9</v>
      </c>
      <c r="D186" s="15" t="s">
        <v>289</v>
      </c>
      <c r="E186" s="70" t="s">
        <v>301</v>
      </c>
      <c r="F186" s="15" t="s">
        <v>37</v>
      </c>
      <c r="G186" s="71">
        <v>225000</v>
      </c>
      <c r="H186" s="42">
        <v>46543</v>
      </c>
      <c r="I186" s="19" t="str">
        <f>IF(N186&gt;1,"group","individual")</f>
        <v>individual</v>
      </c>
      <c r="J186" s="69">
        <v>0</v>
      </c>
      <c r="K186" s="69">
        <v>1</v>
      </c>
      <c r="L186" s="21"/>
      <c r="M186" s="21"/>
      <c r="N186" s="19">
        <f>SUM(J186:K186)</f>
        <v>1</v>
      </c>
      <c r="O186" s="19">
        <f>SUM(L186:M186)</f>
        <v>0</v>
      </c>
      <c r="P186" s="38" t="s">
        <v>30</v>
      </c>
      <c r="Q186" s="39" t="s">
        <v>300</v>
      </c>
    </row>
    <row r="187" spans="1:18" ht="15.75" customHeight="1">
      <c r="A187" s="13" t="s">
        <v>25</v>
      </c>
      <c r="B187" s="13" t="s">
        <v>26</v>
      </c>
      <c r="C187" s="13" t="s">
        <v>9</v>
      </c>
      <c r="D187" s="15" t="s">
        <v>289</v>
      </c>
      <c r="E187" s="70" t="s">
        <v>302</v>
      </c>
      <c r="F187" s="15" t="s">
        <v>37</v>
      </c>
      <c r="G187" s="71">
        <v>60000</v>
      </c>
      <c r="H187" s="42">
        <v>45813</v>
      </c>
      <c r="I187" s="19" t="str">
        <f>IF(N187&gt;1,"group","individual")</f>
        <v>individual</v>
      </c>
      <c r="J187" s="69">
        <v>0</v>
      </c>
      <c r="K187" s="69">
        <v>1</v>
      </c>
      <c r="L187" s="21"/>
      <c r="M187" s="21"/>
      <c r="N187" s="19">
        <f>SUM(J187:K187)</f>
        <v>1</v>
      </c>
      <c r="O187" s="19">
        <f>SUM(L187:M187)</f>
        <v>0</v>
      </c>
      <c r="P187" s="22" t="s">
        <v>30</v>
      </c>
      <c r="Q187" s="23" t="s">
        <v>303</v>
      </c>
    </row>
    <row r="188" spans="1:18" ht="15.75" customHeight="1">
      <c r="A188" s="13" t="s">
        <v>25</v>
      </c>
      <c r="B188" s="13" t="s">
        <v>26</v>
      </c>
      <c r="C188" s="13" t="s">
        <v>9</v>
      </c>
      <c r="D188" s="15" t="s">
        <v>289</v>
      </c>
      <c r="E188" s="70" t="s">
        <v>304</v>
      </c>
      <c r="F188" s="15" t="s">
        <v>76</v>
      </c>
      <c r="G188" s="17">
        <v>200000</v>
      </c>
      <c r="H188" s="18">
        <v>45826</v>
      </c>
      <c r="I188" s="19" t="str">
        <f>IF(N188&gt;1,"group","individual")</f>
        <v>individual</v>
      </c>
      <c r="J188" s="69">
        <v>0</v>
      </c>
      <c r="K188" s="69">
        <v>1</v>
      </c>
      <c r="L188" s="21"/>
      <c r="M188" s="21"/>
      <c r="N188" s="19">
        <f>SUM(J188:K188)</f>
        <v>1</v>
      </c>
      <c r="O188" s="19">
        <f>SUM(L188:M188)</f>
        <v>0</v>
      </c>
      <c r="P188" s="85" t="s">
        <v>30</v>
      </c>
      <c r="Q188" s="39" t="s">
        <v>165</v>
      </c>
    </row>
    <row r="189" spans="1:18" ht="15.75" customHeight="1">
      <c r="A189" s="13" t="s">
        <v>25</v>
      </c>
      <c r="B189" s="13" t="s">
        <v>26</v>
      </c>
      <c r="C189" s="13" t="s">
        <v>9</v>
      </c>
      <c r="D189" s="15" t="s">
        <v>289</v>
      </c>
      <c r="E189" s="70" t="s">
        <v>305</v>
      </c>
      <c r="F189" s="15" t="s">
        <v>306</v>
      </c>
      <c r="G189" s="17">
        <v>200000</v>
      </c>
      <c r="H189" s="18">
        <v>45826</v>
      </c>
      <c r="I189" s="19" t="str">
        <f>IF(N189&gt;1,"group","individual")</f>
        <v>individual</v>
      </c>
      <c r="J189" s="69">
        <v>0</v>
      </c>
      <c r="K189" s="69">
        <v>1</v>
      </c>
      <c r="L189" s="92"/>
      <c r="M189" s="21"/>
      <c r="N189" s="19">
        <f>SUM(J189:K189)</f>
        <v>1</v>
      </c>
      <c r="O189" s="19">
        <f>SUM(L189:M189)</f>
        <v>0</v>
      </c>
      <c r="P189" s="59" t="s">
        <v>30</v>
      </c>
      <c r="Q189" s="23" t="s">
        <v>165</v>
      </c>
    </row>
    <row r="190" spans="1:18" ht="15.75" customHeight="1">
      <c r="A190" s="13" t="s">
        <v>25</v>
      </c>
      <c r="B190" s="13" t="s">
        <v>26</v>
      </c>
      <c r="C190" s="13" t="s">
        <v>9</v>
      </c>
      <c r="D190" s="15" t="s">
        <v>289</v>
      </c>
      <c r="E190" s="70" t="s">
        <v>307</v>
      </c>
      <c r="F190" s="15" t="s">
        <v>308</v>
      </c>
      <c r="G190" s="17">
        <v>225000</v>
      </c>
      <c r="H190" s="20" t="s">
        <v>49</v>
      </c>
      <c r="I190" s="19" t="str">
        <f>IF(N190&gt;1,"group","individual")</f>
        <v>group</v>
      </c>
      <c r="J190" s="69">
        <v>3</v>
      </c>
      <c r="K190" s="69">
        <v>2</v>
      </c>
      <c r="L190" s="21"/>
      <c r="M190" s="21"/>
      <c r="N190" s="19">
        <f>SUM(J190:K190)</f>
        <v>5</v>
      </c>
      <c r="O190" s="19">
        <f>SUM(L190:M190)</f>
        <v>0</v>
      </c>
      <c r="P190" s="59" t="s">
        <v>30</v>
      </c>
      <c r="Q190" s="23" t="s">
        <v>165</v>
      </c>
    </row>
    <row r="191" spans="1:18" ht="15.75" customHeight="1">
      <c r="A191" s="13" t="s">
        <v>25</v>
      </c>
      <c r="B191" s="13" t="s">
        <v>26</v>
      </c>
      <c r="C191" s="13" t="s">
        <v>9</v>
      </c>
      <c r="D191" s="15" t="s">
        <v>289</v>
      </c>
      <c r="E191" s="70" t="s">
        <v>309</v>
      </c>
      <c r="F191" s="15" t="s">
        <v>253</v>
      </c>
      <c r="G191" s="17">
        <v>225000</v>
      </c>
      <c r="H191" s="20" t="s">
        <v>49</v>
      </c>
      <c r="I191" s="19" t="str">
        <f>IF(N191&gt;1,"group","individual")</f>
        <v>individual</v>
      </c>
      <c r="J191" s="69">
        <v>1</v>
      </c>
      <c r="K191" s="70"/>
      <c r="L191" s="21"/>
      <c r="M191" s="92"/>
      <c r="N191" s="19">
        <f>SUM(J191:K191)</f>
        <v>1</v>
      </c>
      <c r="O191" s="19">
        <f>SUM(L191:M191)</f>
        <v>0</v>
      </c>
      <c r="P191" s="59" t="s">
        <v>30</v>
      </c>
      <c r="Q191" s="23" t="s">
        <v>310</v>
      </c>
    </row>
    <row r="192" spans="1:18" ht="15.75" customHeight="1">
      <c r="A192" s="120" t="s">
        <v>25</v>
      </c>
      <c r="B192" s="120" t="s">
        <v>26</v>
      </c>
      <c r="C192" s="120" t="s">
        <v>9</v>
      </c>
      <c r="D192" s="87" t="s">
        <v>289</v>
      </c>
      <c r="E192" s="87" t="s">
        <v>311</v>
      </c>
      <c r="F192" s="87" t="s">
        <v>37</v>
      </c>
      <c r="G192" s="33">
        <v>225000</v>
      </c>
      <c r="H192" s="86">
        <v>45816</v>
      </c>
      <c r="I192" s="19" t="str">
        <f>IF(N192&gt;1,"group","individual")</f>
        <v>group</v>
      </c>
      <c r="J192" s="87"/>
      <c r="K192" s="88">
        <v>5</v>
      </c>
      <c r="L192" s="120"/>
      <c r="M192" s="120"/>
      <c r="N192" s="19">
        <f>SUM(J192:K192)</f>
        <v>5</v>
      </c>
      <c r="O192" s="19">
        <f>SUM(L192:M192)</f>
        <v>0</v>
      </c>
      <c r="P192" s="59" t="s">
        <v>30</v>
      </c>
      <c r="Q192" s="23" t="s">
        <v>165</v>
      </c>
    </row>
    <row r="193" spans="1:17" ht="15.75" customHeight="1">
      <c r="A193" s="120" t="s">
        <v>25</v>
      </c>
      <c r="B193" s="120" t="s">
        <v>26</v>
      </c>
      <c r="C193" s="120" t="s">
        <v>9</v>
      </c>
      <c r="D193" s="87" t="s">
        <v>289</v>
      </c>
      <c r="E193" s="87" t="s">
        <v>312</v>
      </c>
      <c r="F193" s="87" t="s">
        <v>76</v>
      </c>
      <c r="G193" s="33">
        <v>225000</v>
      </c>
      <c r="H193" s="89">
        <v>45816</v>
      </c>
      <c r="I193" s="19" t="str">
        <f>IF(N193&gt;1,"group","individual")</f>
        <v>individual</v>
      </c>
      <c r="J193" s="87"/>
      <c r="K193" s="88">
        <v>1</v>
      </c>
      <c r="L193" s="120"/>
      <c r="M193" s="120"/>
      <c r="N193" s="19">
        <f>SUM(J193:K193)</f>
        <v>1</v>
      </c>
      <c r="O193" s="19">
        <f>SUM(L193:M193)</f>
        <v>0</v>
      </c>
      <c r="P193" s="59" t="s">
        <v>30</v>
      </c>
      <c r="Q193" s="23" t="s">
        <v>313</v>
      </c>
    </row>
    <row r="194" spans="1:17" ht="15.75" customHeight="1">
      <c r="A194" s="30" t="s">
        <v>25</v>
      </c>
      <c r="B194" s="30" t="s">
        <v>26</v>
      </c>
      <c r="C194" s="30" t="s">
        <v>9</v>
      </c>
      <c r="D194" s="32" t="s">
        <v>289</v>
      </c>
      <c r="E194" s="87" t="s">
        <v>314</v>
      </c>
      <c r="F194" s="32" t="s">
        <v>315</v>
      </c>
      <c r="G194" s="33">
        <v>225000</v>
      </c>
      <c r="H194" s="90">
        <v>45819</v>
      </c>
      <c r="I194" s="19" t="str">
        <f>IF(N194&gt;1,"group","individual")</f>
        <v>individual</v>
      </c>
      <c r="J194" s="87"/>
      <c r="K194" s="88">
        <v>1</v>
      </c>
      <c r="L194" s="37"/>
      <c r="M194" s="37"/>
      <c r="N194" s="19">
        <f>SUM(J194:K194)</f>
        <v>1</v>
      </c>
      <c r="O194" s="19">
        <f>SUM(L194:M194)</f>
        <v>0</v>
      </c>
      <c r="P194" s="59" t="s">
        <v>30</v>
      </c>
      <c r="Q194" s="23" t="s">
        <v>42</v>
      </c>
    </row>
    <row r="195" spans="1:17" ht="15.75" customHeight="1">
      <c r="A195" s="30" t="s">
        <v>25</v>
      </c>
      <c r="B195" s="30" t="s">
        <v>26</v>
      </c>
      <c r="C195" s="30" t="s">
        <v>9</v>
      </c>
      <c r="D195" s="32" t="s">
        <v>289</v>
      </c>
      <c r="E195" s="87" t="s">
        <v>316</v>
      </c>
      <c r="F195" s="32" t="s">
        <v>37</v>
      </c>
      <c r="G195" s="33">
        <v>225000</v>
      </c>
      <c r="H195" s="34" t="s">
        <v>64</v>
      </c>
      <c r="I195" s="19" t="str">
        <f>IF(N195&gt;1,"group","individual")</f>
        <v>individual</v>
      </c>
      <c r="J195" s="87"/>
      <c r="K195" s="88">
        <v>1</v>
      </c>
      <c r="L195" s="37"/>
      <c r="M195" s="37"/>
      <c r="N195" s="19">
        <f>SUM(J195:K195)</f>
        <v>1</v>
      </c>
      <c r="O195" s="19">
        <f>SUM(L195:M195)</f>
        <v>0</v>
      </c>
      <c r="P195" s="59" t="s">
        <v>30</v>
      </c>
      <c r="Q195" s="23" t="s">
        <v>42</v>
      </c>
    </row>
    <row r="196" spans="1:17" ht="15.75" customHeight="1">
      <c r="A196" s="120" t="s">
        <v>25</v>
      </c>
      <c r="B196" s="120" t="s">
        <v>26</v>
      </c>
      <c r="C196" s="120" t="s">
        <v>9</v>
      </c>
      <c r="D196" s="87" t="s">
        <v>289</v>
      </c>
      <c r="E196" s="87" t="s">
        <v>317</v>
      </c>
      <c r="F196" s="87" t="s">
        <v>318</v>
      </c>
      <c r="G196" s="33">
        <v>200000</v>
      </c>
      <c r="H196" s="34" t="s">
        <v>64</v>
      </c>
      <c r="I196" s="19" t="str">
        <f>IF(N196&gt;1,"group","individual")</f>
        <v>individual</v>
      </c>
      <c r="J196" s="87"/>
      <c r="K196" s="88">
        <v>1</v>
      </c>
      <c r="L196" s="120"/>
      <c r="M196" s="120"/>
      <c r="N196" s="19">
        <f>SUM(J196:K196)</f>
        <v>1</v>
      </c>
      <c r="O196" s="19">
        <f>SUM(L196:M196)</f>
        <v>0</v>
      </c>
      <c r="P196" s="59" t="s">
        <v>30</v>
      </c>
      <c r="Q196" s="23" t="s">
        <v>42</v>
      </c>
    </row>
    <row r="197" spans="1:17" ht="15.75" customHeight="1">
      <c r="A197" s="13" t="s">
        <v>25</v>
      </c>
      <c r="B197" s="13" t="s">
        <v>26</v>
      </c>
      <c r="C197" s="13" t="s">
        <v>9</v>
      </c>
      <c r="D197" s="15" t="s">
        <v>289</v>
      </c>
      <c r="E197" s="70" t="s">
        <v>319</v>
      </c>
      <c r="F197" s="15" t="s">
        <v>320</v>
      </c>
      <c r="G197" s="17">
        <v>225000</v>
      </c>
      <c r="H197" s="20" t="s">
        <v>64</v>
      </c>
      <c r="I197" s="19" t="str">
        <f>IF(N197&gt;1,"group","individual")</f>
        <v>individual</v>
      </c>
      <c r="J197" s="69">
        <v>1</v>
      </c>
      <c r="K197" s="70"/>
      <c r="L197" s="21"/>
      <c r="M197" s="21"/>
      <c r="N197" s="19">
        <f>SUM(J197:K197)</f>
        <v>1</v>
      </c>
      <c r="O197" s="19">
        <f>SUM(L197:M197)</f>
        <v>0</v>
      </c>
      <c r="P197" s="59" t="s">
        <v>30</v>
      </c>
      <c r="Q197" s="23" t="s">
        <v>42</v>
      </c>
    </row>
    <row r="198" spans="1:17" ht="15.75" customHeight="1">
      <c r="A198" s="13" t="s">
        <v>25</v>
      </c>
      <c r="B198" s="13" t="s">
        <v>26</v>
      </c>
      <c r="C198" s="13" t="s">
        <v>9</v>
      </c>
      <c r="D198" s="15" t="s">
        <v>289</v>
      </c>
      <c r="E198" s="70" t="s">
        <v>321</v>
      </c>
      <c r="F198" s="15" t="s">
        <v>186</v>
      </c>
      <c r="G198" s="17">
        <v>75000</v>
      </c>
      <c r="H198" s="18">
        <v>45919</v>
      </c>
      <c r="I198" s="19" t="str">
        <f>IF(N198&gt;1,"group","individual")</f>
        <v>individual</v>
      </c>
      <c r="J198" s="70"/>
      <c r="K198" s="69">
        <v>1</v>
      </c>
      <c r="L198" s="21"/>
      <c r="M198" s="21"/>
      <c r="N198" s="19">
        <f>SUM(J198:K198)</f>
        <v>1</v>
      </c>
      <c r="O198" s="19">
        <f>SUM(L198:M198)</f>
        <v>0</v>
      </c>
      <c r="P198" s="59" t="s">
        <v>30</v>
      </c>
      <c r="Q198" s="23" t="s">
        <v>42</v>
      </c>
    </row>
    <row r="199" spans="1:17" ht="15.75" customHeight="1">
      <c r="A199" s="120" t="s">
        <v>25</v>
      </c>
      <c r="B199" s="120" t="s">
        <v>26</v>
      </c>
      <c r="C199" s="120" t="s">
        <v>9</v>
      </c>
      <c r="D199" s="87" t="s">
        <v>322</v>
      </c>
      <c r="E199" s="91" t="s">
        <v>323</v>
      </c>
      <c r="F199" s="87" t="s">
        <v>234</v>
      </c>
      <c r="G199" s="33">
        <v>225000</v>
      </c>
      <c r="H199" s="90">
        <v>45792</v>
      </c>
      <c r="I199" s="19" t="str">
        <f>IF(N199&gt;1,"group","individual")</f>
        <v>group</v>
      </c>
      <c r="J199" s="87"/>
      <c r="K199" s="88">
        <v>5</v>
      </c>
      <c r="L199" s="120"/>
      <c r="M199" s="120"/>
      <c r="N199" s="19">
        <f>SUM(J199:K199)</f>
        <v>5</v>
      </c>
      <c r="O199" s="19">
        <f>SUM(L199:M199)</f>
        <v>0</v>
      </c>
      <c r="P199" s="59" t="s">
        <v>30</v>
      </c>
      <c r="Q199" s="23" t="s">
        <v>42</v>
      </c>
    </row>
    <row r="200" spans="1:17" ht="15.75" customHeight="1">
      <c r="A200" s="13" t="s">
        <v>25</v>
      </c>
      <c r="B200" s="13" t="s">
        <v>26</v>
      </c>
      <c r="C200" s="13" t="s">
        <v>9</v>
      </c>
      <c r="D200" s="15" t="s">
        <v>322</v>
      </c>
      <c r="E200" s="16" t="s">
        <v>324</v>
      </c>
      <c r="F200" s="15" t="s">
        <v>234</v>
      </c>
      <c r="G200" s="17">
        <v>75000</v>
      </c>
      <c r="H200" s="54">
        <v>45792</v>
      </c>
      <c r="I200" s="19" t="str">
        <f>IF(N200&gt;1,"group","individual")</f>
        <v>individual</v>
      </c>
      <c r="J200" s="70"/>
      <c r="K200" s="69">
        <v>1</v>
      </c>
      <c r="L200" s="118"/>
      <c r="M200" s="21"/>
      <c r="N200" s="19">
        <f>SUM(J200:K200)</f>
        <v>1</v>
      </c>
      <c r="O200" s="19">
        <f>SUM(L200:M200)</f>
        <v>0</v>
      </c>
      <c r="P200" s="59" t="s">
        <v>30</v>
      </c>
      <c r="Q200" s="23" t="s">
        <v>325</v>
      </c>
    </row>
    <row r="201" spans="1:17" ht="15.75" customHeight="1">
      <c r="A201" s="13" t="s">
        <v>25</v>
      </c>
      <c r="B201" s="13" t="s">
        <v>26</v>
      </c>
      <c r="C201" s="13" t="s">
        <v>9</v>
      </c>
      <c r="D201" s="15" t="s">
        <v>322</v>
      </c>
      <c r="E201" s="16" t="s">
        <v>326</v>
      </c>
      <c r="F201" s="15" t="s">
        <v>327</v>
      </c>
      <c r="G201" s="17">
        <v>75000</v>
      </c>
      <c r="H201" s="54">
        <v>45792</v>
      </c>
      <c r="I201" s="19" t="str">
        <f>IF(N201&gt;1,"group","individual")</f>
        <v>individual</v>
      </c>
      <c r="J201" s="70"/>
      <c r="K201" s="69">
        <v>1</v>
      </c>
      <c r="L201" s="21"/>
      <c r="M201" s="21"/>
      <c r="N201" s="19">
        <f>SUM(J201:K201)</f>
        <v>1</v>
      </c>
      <c r="O201" s="19">
        <f>SUM(L201:M201)</f>
        <v>0</v>
      </c>
      <c r="P201" s="59" t="s">
        <v>30</v>
      </c>
      <c r="Q201" s="23" t="s">
        <v>108</v>
      </c>
    </row>
    <row r="202" spans="1:17" ht="15.75" customHeight="1">
      <c r="A202" s="13" t="s">
        <v>25</v>
      </c>
      <c r="B202" s="13" t="s">
        <v>26</v>
      </c>
      <c r="C202" s="13" t="s">
        <v>9</v>
      </c>
      <c r="D202" s="15" t="s">
        <v>322</v>
      </c>
      <c r="E202" s="16" t="s">
        <v>328</v>
      </c>
      <c r="F202" s="15" t="s">
        <v>234</v>
      </c>
      <c r="G202" s="17">
        <v>225000</v>
      </c>
      <c r="H202" s="54">
        <v>45793</v>
      </c>
      <c r="I202" s="19" t="str">
        <f>IF(N202&gt;1,"group","individual")</f>
        <v>individual</v>
      </c>
      <c r="J202" s="70"/>
      <c r="K202" s="69">
        <v>1</v>
      </c>
      <c r="L202" s="21"/>
      <c r="M202" s="118"/>
      <c r="N202" s="19">
        <f>SUM(J202:K202)</f>
        <v>1</v>
      </c>
      <c r="O202" s="19">
        <f>SUM(L202:M202)</f>
        <v>0</v>
      </c>
      <c r="P202" s="59" t="s">
        <v>30</v>
      </c>
      <c r="Q202" s="23" t="s">
        <v>329</v>
      </c>
    </row>
    <row r="203" spans="1:17" ht="15.75" customHeight="1">
      <c r="A203" s="44" t="s">
        <v>25</v>
      </c>
      <c r="B203" s="44" t="s">
        <v>26</v>
      </c>
      <c r="C203" s="44" t="s">
        <v>9</v>
      </c>
      <c r="D203" s="15" t="s">
        <v>322</v>
      </c>
      <c r="E203" s="16" t="s">
        <v>330</v>
      </c>
      <c r="F203" s="15" t="s">
        <v>294</v>
      </c>
      <c r="G203" s="17">
        <v>225000</v>
      </c>
      <c r="H203" s="54">
        <v>45792</v>
      </c>
      <c r="I203" s="19" t="str">
        <f>IF(N203&gt;1,"group","individual")</f>
        <v>individual</v>
      </c>
      <c r="J203" s="70"/>
      <c r="K203" s="69">
        <v>1</v>
      </c>
      <c r="L203" s="21"/>
      <c r="M203" s="21"/>
      <c r="N203" s="19">
        <f>SUM(J203:K203)</f>
        <v>1</v>
      </c>
      <c r="O203" s="19">
        <f>SUM(L203:M203)</f>
        <v>0</v>
      </c>
      <c r="P203" s="59" t="s">
        <v>30</v>
      </c>
      <c r="Q203" s="84" t="s">
        <v>329</v>
      </c>
    </row>
    <row r="204" spans="1:17" ht="15.75" customHeight="1">
      <c r="A204" s="44" t="s">
        <v>25</v>
      </c>
      <c r="B204" s="44" t="s">
        <v>26</v>
      </c>
      <c r="C204" s="44" t="s">
        <v>9</v>
      </c>
      <c r="D204" s="15" t="s">
        <v>322</v>
      </c>
      <c r="E204" s="16" t="s">
        <v>331</v>
      </c>
      <c r="F204" s="15" t="s">
        <v>120</v>
      </c>
      <c r="G204" s="17">
        <v>75000</v>
      </c>
      <c r="H204" s="54">
        <v>45789</v>
      </c>
      <c r="I204" s="19" t="str">
        <f>IF(N204&gt;1,"group","individual")</f>
        <v>individual</v>
      </c>
      <c r="J204" s="70"/>
      <c r="K204" s="69">
        <v>1</v>
      </c>
      <c r="L204" s="21"/>
      <c r="M204" s="21"/>
      <c r="N204" s="19">
        <f>SUM(J204:K204)</f>
        <v>1</v>
      </c>
      <c r="O204" s="19">
        <f>SUM(L204:M204)</f>
        <v>0</v>
      </c>
      <c r="P204" s="59" t="s">
        <v>30</v>
      </c>
      <c r="Q204" s="84" t="s">
        <v>329</v>
      </c>
    </row>
    <row r="205" spans="1:17" ht="15.75" customHeight="1">
      <c r="A205" s="44" t="s">
        <v>25</v>
      </c>
      <c r="B205" s="44" t="s">
        <v>26</v>
      </c>
      <c r="C205" s="44" t="s">
        <v>9</v>
      </c>
      <c r="D205" s="15" t="s">
        <v>322</v>
      </c>
      <c r="E205" s="16" t="s">
        <v>332</v>
      </c>
      <c r="F205" s="15" t="s">
        <v>327</v>
      </c>
      <c r="G205" s="17">
        <v>75000</v>
      </c>
      <c r="H205" s="54">
        <v>45803</v>
      </c>
      <c r="I205" s="19" t="str">
        <f>IF(N205&gt;1,"group","individual")</f>
        <v>individual</v>
      </c>
      <c r="J205" s="70"/>
      <c r="K205" s="69">
        <v>1</v>
      </c>
      <c r="L205" s="21"/>
      <c r="M205" s="21"/>
      <c r="N205" s="19">
        <f>SUM(J205:K205)</f>
        <v>1</v>
      </c>
      <c r="O205" s="19">
        <f>SUM(L205:M205)</f>
        <v>0</v>
      </c>
      <c r="P205" s="59" t="s">
        <v>183</v>
      </c>
      <c r="Q205" s="84" t="s">
        <v>333</v>
      </c>
    </row>
    <row r="206" spans="1:17" ht="15.75" customHeight="1">
      <c r="A206" s="44" t="s">
        <v>25</v>
      </c>
      <c r="B206" s="44" t="s">
        <v>26</v>
      </c>
      <c r="C206" s="44" t="s">
        <v>9</v>
      </c>
      <c r="D206" s="15" t="s">
        <v>322</v>
      </c>
      <c r="E206" s="16" t="s">
        <v>334</v>
      </c>
      <c r="F206" s="15" t="s">
        <v>335</v>
      </c>
      <c r="G206" s="17">
        <v>75000</v>
      </c>
      <c r="H206" s="54">
        <v>45803</v>
      </c>
      <c r="I206" s="19" t="str">
        <f>IF(N206&gt;1,"group","individual")</f>
        <v>individual</v>
      </c>
      <c r="J206" s="70"/>
      <c r="K206" s="69">
        <v>1</v>
      </c>
      <c r="L206" s="21"/>
      <c r="M206" s="21"/>
      <c r="N206" s="19">
        <f>SUM(J206:K206)</f>
        <v>1</v>
      </c>
      <c r="O206" s="19">
        <f>SUM(L206:M206)</f>
        <v>0</v>
      </c>
      <c r="P206" s="59" t="s">
        <v>30</v>
      </c>
      <c r="Q206" s="84" t="s">
        <v>336</v>
      </c>
    </row>
    <row r="207" spans="1:17" ht="15.75" customHeight="1">
      <c r="A207" s="118" t="s">
        <v>25</v>
      </c>
      <c r="B207" s="118" t="s">
        <v>26</v>
      </c>
      <c r="C207" s="118" t="s">
        <v>9</v>
      </c>
      <c r="D207" s="70" t="s">
        <v>322</v>
      </c>
      <c r="E207" s="16" t="s">
        <v>337</v>
      </c>
      <c r="F207" s="70" t="s">
        <v>294</v>
      </c>
      <c r="G207" s="17">
        <v>225000</v>
      </c>
      <c r="H207" s="54">
        <v>45803</v>
      </c>
      <c r="I207" s="19" t="str">
        <f>IF(N207&gt;1,"group","individual")</f>
        <v>group</v>
      </c>
      <c r="J207" s="70"/>
      <c r="K207" s="69">
        <v>3</v>
      </c>
      <c r="L207" s="118"/>
      <c r="M207" s="118"/>
      <c r="N207" s="19">
        <f>SUM(J207:K207)</f>
        <v>3</v>
      </c>
      <c r="O207" s="19">
        <f>SUM(L207:M207)</f>
        <v>0</v>
      </c>
      <c r="P207" s="59" t="s">
        <v>30</v>
      </c>
      <c r="Q207" s="84" t="s">
        <v>336</v>
      </c>
    </row>
    <row r="208" spans="1:17" ht="15.75" customHeight="1">
      <c r="A208" s="118" t="s">
        <v>25</v>
      </c>
      <c r="B208" s="118" t="s">
        <v>26</v>
      </c>
      <c r="C208" s="118" t="s">
        <v>9</v>
      </c>
      <c r="D208" s="70" t="s">
        <v>322</v>
      </c>
      <c r="E208" s="16" t="s">
        <v>338</v>
      </c>
      <c r="F208" s="70" t="s">
        <v>294</v>
      </c>
      <c r="G208" s="17">
        <v>75000</v>
      </c>
      <c r="H208" s="54">
        <v>45803</v>
      </c>
      <c r="I208" s="19" t="str">
        <f>IF(N208&gt;1,"group","individual")</f>
        <v>individual</v>
      </c>
      <c r="J208" s="70"/>
      <c r="K208" s="69">
        <v>1</v>
      </c>
      <c r="L208" s="118"/>
      <c r="M208" s="118"/>
      <c r="N208" s="19">
        <f>SUM(J208:K208)</f>
        <v>1</v>
      </c>
      <c r="O208" s="19">
        <f>SUM(L208:M208)</f>
        <v>0</v>
      </c>
      <c r="P208" s="59" t="s">
        <v>183</v>
      </c>
      <c r="Q208" s="84" t="s">
        <v>339</v>
      </c>
    </row>
    <row r="209" spans="1:17" ht="15.75" customHeight="1">
      <c r="A209" s="118" t="s">
        <v>25</v>
      </c>
      <c r="B209" s="118" t="s">
        <v>26</v>
      </c>
      <c r="C209" s="118" t="s">
        <v>9</v>
      </c>
      <c r="D209" s="70" t="s">
        <v>322</v>
      </c>
      <c r="E209" s="16" t="s">
        <v>340</v>
      </c>
      <c r="F209" s="70" t="s">
        <v>341</v>
      </c>
      <c r="G209" s="17">
        <v>225000</v>
      </c>
      <c r="H209" s="54">
        <v>45803</v>
      </c>
      <c r="I209" s="19" t="str">
        <f>IF(N209&gt;1,"group","individual")</f>
        <v>group</v>
      </c>
      <c r="J209" s="69">
        <v>3</v>
      </c>
      <c r="K209" s="70"/>
      <c r="L209" s="118"/>
      <c r="M209" s="118"/>
      <c r="N209" s="19">
        <f>SUM(J209:K209)</f>
        <v>3</v>
      </c>
      <c r="O209" s="19">
        <f>SUM(L209:M209)</f>
        <v>0</v>
      </c>
      <c r="P209" s="59" t="s">
        <v>30</v>
      </c>
      <c r="Q209" s="84" t="s">
        <v>336</v>
      </c>
    </row>
    <row r="210" spans="1:17" ht="15.75" customHeight="1">
      <c r="A210" s="118" t="s">
        <v>25</v>
      </c>
      <c r="B210" s="118" t="s">
        <v>26</v>
      </c>
      <c r="C210" s="118" t="s">
        <v>9</v>
      </c>
      <c r="D210" s="70" t="s">
        <v>322</v>
      </c>
      <c r="E210" s="16" t="s">
        <v>342</v>
      </c>
      <c r="F210" s="70" t="s">
        <v>308</v>
      </c>
      <c r="G210" s="17">
        <v>225000</v>
      </c>
      <c r="H210" s="54">
        <v>45812</v>
      </c>
      <c r="I210" s="19" t="str">
        <f>IF(N210&gt;1,"group","individual")</f>
        <v>group</v>
      </c>
      <c r="J210" s="70"/>
      <c r="K210" s="69">
        <v>5</v>
      </c>
      <c r="L210" s="118"/>
      <c r="M210" s="118"/>
      <c r="N210" s="19">
        <f>SUM(J210:K210)</f>
        <v>5</v>
      </c>
      <c r="O210" s="19">
        <f>SUM(L210:M210)</f>
        <v>0</v>
      </c>
      <c r="P210" s="59" t="s">
        <v>30</v>
      </c>
      <c r="Q210" s="84" t="s">
        <v>336</v>
      </c>
    </row>
    <row r="211" spans="1:17" ht="15.75" customHeight="1">
      <c r="A211" s="118" t="s">
        <v>25</v>
      </c>
      <c r="B211" s="118" t="s">
        <v>26</v>
      </c>
      <c r="C211" s="118" t="s">
        <v>9</v>
      </c>
      <c r="D211" s="70" t="s">
        <v>322</v>
      </c>
      <c r="E211" s="16" t="s">
        <v>343</v>
      </c>
      <c r="F211" s="70" t="s">
        <v>215</v>
      </c>
      <c r="G211" s="17">
        <v>225000</v>
      </c>
      <c r="H211" s="54">
        <v>45812</v>
      </c>
      <c r="I211" s="19" t="str">
        <f>IF(N211&gt;1,"group","individual")</f>
        <v>individual</v>
      </c>
      <c r="J211" s="69">
        <v>1</v>
      </c>
      <c r="K211" s="70"/>
      <c r="L211" s="118"/>
      <c r="M211" s="118"/>
      <c r="N211" s="19">
        <f>SUM(J211:K211)</f>
        <v>1</v>
      </c>
      <c r="O211" s="19">
        <f>SUM(L211:M211)</f>
        <v>0</v>
      </c>
      <c r="P211" s="59" t="s">
        <v>30</v>
      </c>
      <c r="Q211" s="84" t="s">
        <v>336</v>
      </c>
    </row>
    <row r="212" spans="1:17" ht="15.75" customHeight="1">
      <c r="A212" s="118" t="s">
        <v>25</v>
      </c>
      <c r="B212" s="118" t="s">
        <v>26</v>
      </c>
      <c r="C212" s="118" t="s">
        <v>9</v>
      </c>
      <c r="D212" s="70" t="s">
        <v>322</v>
      </c>
      <c r="E212" s="16" t="s">
        <v>344</v>
      </c>
      <c r="F212" s="70" t="s">
        <v>37</v>
      </c>
      <c r="G212" s="17">
        <v>75000</v>
      </c>
      <c r="H212" s="54">
        <v>45818</v>
      </c>
      <c r="I212" s="19" t="str">
        <f>IF(N212&gt;1,"group","individual")</f>
        <v>individual</v>
      </c>
      <c r="J212" s="70"/>
      <c r="K212" s="69">
        <v>1</v>
      </c>
      <c r="L212" s="118"/>
      <c r="M212" s="118"/>
      <c r="N212" s="19">
        <f>SUM(J212:K212)</f>
        <v>1</v>
      </c>
      <c r="O212" s="19">
        <f>SUM(L212:M212)</f>
        <v>0</v>
      </c>
      <c r="P212" s="59" t="s">
        <v>30</v>
      </c>
      <c r="Q212" s="23" t="s">
        <v>336</v>
      </c>
    </row>
    <row r="213" spans="1:17" ht="15.75" customHeight="1">
      <c r="A213" s="118" t="s">
        <v>25</v>
      </c>
      <c r="B213" s="118" t="s">
        <v>26</v>
      </c>
      <c r="C213" s="118" t="s">
        <v>9</v>
      </c>
      <c r="D213" s="70" t="s">
        <v>322</v>
      </c>
      <c r="E213" s="16" t="s">
        <v>345</v>
      </c>
      <c r="F213" s="70" t="s">
        <v>346</v>
      </c>
      <c r="G213" s="17">
        <v>225000</v>
      </c>
      <c r="H213" s="54">
        <v>45831</v>
      </c>
      <c r="I213" s="19" t="str">
        <f>IF(N213&gt;1,"group","individual")</f>
        <v>group</v>
      </c>
      <c r="J213" s="70"/>
      <c r="K213" s="69">
        <v>3</v>
      </c>
      <c r="L213" s="118"/>
      <c r="M213" s="118"/>
      <c r="N213" s="19">
        <f>SUM(J213:K213)</f>
        <v>3</v>
      </c>
      <c r="O213" s="19">
        <f>SUM(L213:M213)</f>
        <v>0</v>
      </c>
      <c r="P213" s="59" t="s">
        <v>30</v>
      </c>
      <c r="Q213" s="84" t="s">
        <v>336</v>
      </c>
    </row>
    <row r="214" spans="1:17" ht="15.75" customHeight="1">
      <c r="A214" s="118" t="s">
        <v>25</v>
      </c>
      <c r="B214" s="118" t="s">
        <v>26</v>
      </c>
      <c r="C214" s="118" t="s">
        <v>9</v>
      </c>
      <c r="D214" s="70" t="s">
        <v>322</v>
      </c>
      <c r="E214" s="16" t="s">
        <v>347</v>
      </c>
      <c r="F214" s="70" t="s">
        <v>346</v>
      </c>
      <c r="G214" s="17">
        <v>225000</v>
      </c>
      <c r="H214" s="54">
        <v>45831</v>
      </c>
      <c r="I214" s="19" t="str">
        <f>IF(N214&gt;1,"group","individual")</f>
        <v>individual</v>
      </c>
      <c r="J214" s="70"/>
      <c r="K214" s="69">
        <v>1</v>
      </c>
      <c r="L214" s="118"/>
      <c r="M214" s="118"/>
      <c r="N214" s="19">
        <f>SUM(J214:K214)</f>
        <v>1</v>
      </c>
      <c r="O214" s="19">
        <f>SUM(L214:M214)</f>
        <v>0</v>
      </c>
      <c r="P214" s="59" t="s">
        <v>30</v>
      </c>
      <c r="Q214" s="188" t="s">
        <v>336</v>
      </c>
    </row>
    <row r="215" spans="1:17" ht="15.75" customHeight="1">
      <c r="A215" s="13" t="s">
        <v>25</v>
      </c>
      <c r="B215" s="13" t="s">
        <v>26</v>
      </c>
      <c r="C215" s="13" t="s">
        <v>9</v>
      </c>
      <c r="D215" s="15" t="s">
        <v>322</v>
      </c>
      <c r="E215" s="16" t="s">
        <v>348</v>
      </c>
      <c r="F215" s="15" t="s">
        <v>37</v>
      </c>
      <c r="G215" s="17">
        <v>225000</v>
      </c>
      <c r="H215" s="54">
        <v>45831</v>
      </c>
      <c r="I215" s="19" t="str">
        <f>IF(N215&gt;1,"group","individual")</f>
        <v>individual</v>
      </c>
      <c r="J215" s="70"/>
      <c r="K215" s="69">
        <v>1</v>
      </c>
      <c r="L215" s="21"/>
      <c r="M215" s="21"/>
      <c r="N215" s="19">
        <f>SUM(J215:K215)</f>
        <v>1</v>
      </c>
      <c r="O215" s="19">
        <f>SUM(L215:M215)</f>
        <v>0</v>
      </c>
      <c r="P215" s="59" t="s">
        <v>30</v>
      </c>
      <c r="Q215" s="188" t="s">
        <v>336</v>
      </c>
    </row>
    <row r="216" spans="1:17" ht="15.75" customHeight="1">
      <c r="A216" s="13" t="s">
        <v>25</v>
      </c>
      <c r="B216" s="13" t="s">
        <v>26</v>
      </c>
      <c r="C216" s="13" t="s">
        <v>9</v>
      </c>
      <c r="D216" s="15" t="s">
        <v>322</v>
      </c>
      <c r="E216" s="16" t="s">
        <v>349</v>
      </c>
      <c r="F216" s="15" t="s">
        <v>186</v>
      </c>
      <c r="G216" s="17">
        <v>150000</v>
      </c>
      <c r="H216" s="54">
        <v>45831</v>
      </c>
      <c r="I216" s="19" t="str">
        <f>IF(N216&gt;1,"group","individual")</f>
        <v>group</v>
      </c>
      <c r="J216" s="69">
        <v>1</v>
      </c>
      <c r="K216" s="69">
        <v>1</v>
      </c>
      <c r="L216" s="21"/>
      <c r="M216" s="21"/>
      <c r="N216" s="19">
        <f>SUM(J216:K216)</f>
        <v>2</v>
      </c>
      <c r="O216" s="19">
        <f>SUM(L216:M216)</f>
        <v>0</v>
      </c>
      <c r="P216" s="59" t="s">
        <v>183</v>
      </c>
      <c r="Q216" s="84" t="s">
        <v>339</v>
      </c>
    </row>
    <row r="217" spans="1:17" ht="15.75" customHeight="1">
      <c r="A217" s="13" t="s">
        <v>25</v>
      </c>
      <c r="B217" s="13" t="s">
        <v>26</v>
      </c>
      <c r="C217" s="13" t="s">
        <v>9</v>
      </c>
      <c r="D217" s="15" t="s">
        <v>322</v>
      </c>
      <c r="E217" s="16" t="s">
        <v>350</v>
      </c>
      <c r="F217" s="15" t="s">
        <v>351</v>
      </c>
      <c r="G217" s="17">
        <v>75000</v>
      </c>
      <c r="H217" s="54">
        <v>45831</v>
      </c>
      <c r="I217" s="19" t="str">
        <f>IF(N217&gt;1,"group","individual")</f>
        <v>individual</v>
      </c>
      <c r="J217" s="70"/>
      <c r="K217" s="69">
        <v>1</v>
      </c>
      <c r="L217" s="21"/>
      <c r="M217" s="21"/>
      <c r="N217" s="19">
        <f>SUM(J217:K217)</f>
        <v>1</v>
      </c>
      <c r="O217" s="19">
        <f>SUM(L217:M217)</f>
        <v>0</v>
      </c>
      <c r="P217" s="59" t="s">
        <v>183</v>
      </c>
      <c r="Q217" s="23" t="s">
        <v>339</v>
      </c>
    </row>
    <row r="218" spans="1:17" ht="15.75" customHeight="1">
      <c r="A218" s="13" t="s">
        <v>25</v>
      </c>
      <c r="B218" s="13" t="s">
        <v>26</v>
      </c>
      <c r="C218" s="13" t="s">
        <v>9</v>
      </c>
      <c r="D218" s="15" t="s">
        <v>322</v>
      </c>
      <c r="E218" s="16" t="s">
        <v>352</v>
      </c>
      <c r="F218" s="15" t="s">
        <v>141</v>
      </c>
      <c r="G218" s="17">
        <v>75000</v>
      </c>
      <c r="H218" s="54">
        <v>45831</v>
      </c>
      <c r="I218" s="19" t="str">
        <f>IF(N218&gt;1,"group","individual")</f>
        <v>individual</v>
      </c>
      <c r="J218" s="70"/>
      <c r="K218" s="69">
        <v>1</v>
      </c>
      <c r="L218" s="21"/>
      <c r="M218" s="21"/>
      <c r="N218" s="19">
        <f>SUM(J218:K218)</f>
        <v>1</v>
      </c>
      <c r="O218" s="19">
        <f>SUM(L218:M218)</f>
        <v>0</v>
      </c>
      <c r="P218" s="59" t="s">
        <v>30</v>
      </c>
      <c r="Q218" s="23" t="s">
        <v>292</v>
      </c>
    </row>
    <row r="219" spans="1:17" ht="15.75" customHeight="1">
      <c r="A219" s="13" t="s">
        <v>25</v>
      </c>
      <c r="B219" s="13" t="s">
        <v>26</v>
      </c>
      <c r="C219" s="13" t="s">
        <v>9</v>
      </c>
      <c r="D219" s="15" t="s">
        <v>322</v>
      </c>
      <c r="E219" s="16" t="s">
        <v>353</v>
      </c>
      <c r="F219" s="15" t="s">
        <v>186</v>
      </c>
      <c r="G219" s="17">
        <v>225000</v>
      </c>
      <c r="H219" s="54">
        <v>45831</v>
      </c>
      <c r="I219" s="19" t="str">
        <f>IF(N219&gt;1,"group","individual")</f>
        <v>individual</v>
      </c>
      <c r="J219" s="70"/>
      <c r="K219" s="69">
        <v>1</v>
      </c>
      <c r="L219" s="21"/>
      <c r="M219" s="21"/>
      <c r="N219" s="19">
        <f>SUM(J219:K219)</f>
        <v>1</v>
      </c>
      <c r="O219" s="19">
        <f>SUM(L219:M219)</f>
        <v>0</v>
      </c>
      <c r="P219" s="59" t="s">
        <v>30</v>
      </c>
      <c r="Q219" s="23" t="s">
        <v>292</v>
      </c>
    </row>
    <row r="220" spans="1:17" ht="15.75" customHeight="1">
      <c r="A220" s="13" t="s">
        <v>25</v>
      </c>
      <c r="B220" s="13" t="s">
        <v>26</v>
      </c>
      <c r="C220" s="13" t="s">
        <v>9</v>
      </c>
      <c r="D220" s="15" t="s">
        <v>322</v>
      </c>
      <c r="E220" s="16" t="s">
        <v>354</v>
      </c>
      <c r="F220" s="15" t="s">
        <v>351</v>
      </c>
      <c r="G220" s="17">
        <v>75000</v>
      </c>
      <c r="H220" s="54">
        <v>45831</v>
      </c>
      <c r="I220" s="19" t="str">
        <f>IF(N220&gt;1,"group","individual")</f>
        <v>individual</v>
      </c>
      <c r="J220" s="70"/>
      <c r="K220" s="69">
        <v>1</v>
      </c>
      <c r="L220" s="21"/>
      <c r="M220" s="21"/>
      <c r="N220" s="19">
        <f>SUM(J220:K220)</f>
        <v>1</v>
      </c>
      <c r="O220" s="19">
        <f>SUM(L220:M220)</f>
        <v>0</v>
      </c>
      <c r="P220" s="59" t="s">
        <v>30</v>
      </c>
      <c r="Q220" s="23" t="s">
        <v>292</v>
      </c>
    </row>
    <row r="221" spans="1:17" ht="15.75" customHeight="1">
      <c r="A221" s="13" t="s">
        <v>25</v>
      </c>
      <c r="B221" s="13" t="s">
        <v>26</v>
      </c>
      <c r="C221" s="13" t="s">
        <v>9</v>
      </c>
      <c r="D221" s="15" t="s">
        <v>322</v>
      </c>
      <c r="E221" s="16" t="s">
        <v>355</v>
      </c>
      <c r="F221" s="15" t="s">
        <v>90</v>
      </c>
      <c r="G221" s="17">
        <v>225000</v>
      </c>
      <c r="H221" s="54">
        <v>45831</v>
      </c>
      <c r="I221" s="19" t="str">
        <f>IF(N221&gt;1,"group","individual")</f>
        <v>individual</v>
      </c>
      <c r="J221" s="70"/>
      <c r="K221" s="69">
        <v>1</v>
      </c>
      <c r="L221" s="21"/>
      <c r="M221" s="21"/>
      <c r="N221" s="19">
        <f>SUM(J221:K221)</f>
        <v>1</v>
      </c>
      <c r="O221" s="19">
        <f>SUM(L221:M221)</f>
        <v>0</v>
      </c>
      <c r="P221" s="59" t="s">
        <v>30</v>
      </c>
      <c r="Q221" s="23" t="s">
        <v>292</v>
      </c>
    </row>
    <row r="222" spans="1:17" ht="15.75" customHeight="1">
      <c r="A222" s="13" t="s">
        <v>25</v>
      </c>
      <c r="B222" s="13" t="s">
        <v>26</v>
      </c>
      <c r="C222" s="13" t="s">
        <v>9</v>
      </c>
      <c r="D222" s="15" t="s">
        <v>322</v>
      </c>
      <c r="E222" s="16" t="s">
        <v>356</v>
      </c>
      <c r="F222" s="15" t="s">
        <v>357</v>
      </c>
      <c r="G222" s="17">
        <v>225000</v>
      </c>
      <c r="H222" s="54">
        <v>45831</v>
      </c>
      <c r="I222" s="19" t="str">
        <f>IF(N222&gt;1,"group","individual")</f>
        <v>individual</v>
      </c>
      <c r="J222" s="70"/>
      <c r="K222" s="69">
        <v>1</v>
      </c>
      <c r="L222" s="21"/>
      <c r="M222" s="21"/>
      <c r="N222" s="19">
        <f>SUM(J222:K222)</f>
        <v>1</v>
      </c>
      <c r="O222" s="19">
        <f>SUM(L222:M222)</f>
        <v>0</v>
      </c>
      <c r="P222" s="59" t="s">
        <v>30</v>
      </c>
      <c r="Q222" s="23" t="s">
        <v>292</v>
      </c>
    </row>
    <row r="223" spans="1:17" ht="15.75" customHeight="1">
      <c r="A223" s="13" t="s">
        <v>25</v>
      </c>
      <c r="B223" s="13" t="s">
        <v>26</v>
      </c>
      <c r="C223" s="13" t="s">
        <v>9</v>
      </c>
      <c r="D223" s="15" t="s">
        <v>322</v>
      </c>
      <c r="E223" s="16" t="s">
        <v>358</v>
      </c>
      <c r="F223" s="15" t="s">
        <v>37</v>
      </c>
      <c r="G223" s="17">
        <v>225000</v>
      </c>
      <c r="H223" s="54">
        <v>45831</v>
      </c>
      <c r="I223" s="19" t="str">
        <f>IF(N223&gt;1,"group","individual")</f>
        <v>individual</v>
      </c>
      <c r="J223" s="70"/>
      <c r="K223" s="69">
        <v>1</v>
      </c>
      <c r="L223" s="21"/>
      <c r="M223" s="21"/>
      <c r="N223" s="19">
        <f>SUM(J223:K223)</f>
        <v>1</v>
      </c>
      <c r="O223" s="19">
        <f>SUM(L223:M223)</f>
        <v>0</v>
      </c>
      <c r="P223" s="59" t="s">
        <v>30</v>
      </c>
      <c r="Q223" s="23" t="s">
        <v>292</v>
      </c>
    </row>
    <row r="224" spans="1:17" ht="15.75" customHeight="1">
      <c r="A224" s="13" t="s">
        <v>25</v>
      </c>
      <c r="B224" s="13" t="s">
        <v>26</v>
      </c>
      <c r="C224" s="13" t="s">
        <v>9</v>
      </c>
      <c r="D224" s="15" t="s">
        <v>322</v>
      </c>
      <c r="E224" s="16" t="s">
        <v>359</v>
      </c>
      <c r="F224" s="15" t="s">
        <v>37</v>
      </c>
      <c r="G224" s="17">
        <v>225000</v>
      </c>
      <c r="H224" s="54">
        <v>45831</v>
      </c>
      <c r="I224" s="19" t="str">
        <f>IF(N224&gt;1,"group","individual")</f>
        <v>individual</v>
      </c>
      <c r="J224" s="70"/>
      <c r="K224" s="69">
        <v>1</v>
      </c>
      <c r="L224" s="21"/>
      <c r="M224" s="21"/>
      <c r="N224" s="19">
        <f>SUM(J224:K224)</f>
        <v>1</v>
      </c>
      <c r="O224" s="19">
        <f>SUM(L224:M224)</f>
        <v>0</v>
      </c>
      <c r="P224" s="59" t="s">
        <v>30</v>
      </c>
      <c r="Q224" s="23" t="s">
        <v>292</v>
      </c>
    </row>
    <row r="225" spans="1:17" ht="15.75" customHeight="1">
      <c r="A225" s="13" t="s">
        <v>25</v>
      </c>
      <c r="B225" s="13" t="s">
        <v>26</v>
      </c>
      <c r="C225" s="13" t="s">
        <v>9</v>
      </c>
      <c r="D225" s="15" t="s">
        <v>322</v>
      </c>
      <c r="E225" s="16" t="s">
        <v>360</v>
      </c>
      <c r="F225" s="15" t="s">
        <v>37</v>
      </c>
      <c r="G225" s="17">
        <v>225000</v>
      </c>
      <c r="H225" s="54">
        <v>45831</v>
      </c>
      <c r="I225" s="19" t="str">
        <f>IF(N225&gt;1,"group","individual")</f>
        <v>individual</v>
      </c>
      <c r="J225" s="70"/>
      <c r="K225" s="69">
        <v>1</v>
      </c>
      <c r="L225" s="21"/>
      <c r="M225" s="21"/>
      <c r="N225" s="19">
        <f>SUM(J225:K225)</f>
        <v>1</v>
      </c>
      <c r="O225" s="19">
        <f>SUM(L225:M225)</f>
        <v>0</v>
      </c>
      <c r="P225" s="59" t="s">
        <v>30</v>
      </c>
      <c r="Q225" s="23" t="s">
        <v>292</v>
      </c>
    </row>
    <row r="226" spans="1:17" ht="15.75" customHeight="1">
      <c r="A226" s="13" t="s">
        <v>25</v>
      </c>
      <c r="B226" s="13" t="s">
        <v>26</v>
      </c>
      <c r="C226" s="13" t="s">
        <v>9</v>
      </c>
      <c r="D226" s="15" t="s">
        <v>322</v>
      </c>
      <c r="E226" s="16" t="s">
        <v>361</v>
      </c>
      <c r="F226" s="15" t="s">
        <v>37</v>
      </c>
      <c r="G226" s="17">
        <v>75000</v>
      </c>
      <c r="H226" s="54">
        <v>45831</v>
      </c>
      <c r="I226" s="19" t="str">
        <f>IF(N226&gt;1,"group","individual")</f>
        <v>individual</v>
      </c>
      <c r="J226" s="69">
        <v>1</v>
      </c>
      <c r="K226" s="70"/>
      <c r="L226" s="21"/>
      <c r="M226" s="21"/>
      <c r="N226" s="19">
        <f>SUM(J226:K226)</f>
        <v>1</v>
      </c>
      <c r="O226" s="19">
        <f>SUM(L226:M226)</f>
        <v>0</v>
      </c>
      <c r="P226" s="59" t="s">
        <v>183</v>
      </c>
      <c r="Q226" s="23" t="s">
        <v>362</v>
      </c>
    </row>
    <row r="227" spans="1:17" ht="15.75" customHeight="1">
      <c r="A227" s="13" t="s">
        <v>25</v>
      </c>
      <c r="B227" s="13" t="s">
        <v>26</v>
      </c>
      <c r="C227" s="13" t="s">
        <v>9</v>
      </c>
      <c r="D227" s="15" t="s">
        <v>322</v>
      </c>
      <c r="E227" s="16" t="s">
        <v>363</v>
      </c>
      <c r="F227" s="15" t="s">
        <v>29</v>
      </c>
      <c r="G227" s="17">
        <v>225000</v>
      </c>
      <c r="H227" s="150" t="s">
        <v>364</v>
      </c>
      <c r="I227" s="19" t="str">
        <f>IF(N227&gt;1,"group","individual")</f>
        <v>individual</v>
      </c>
      <c r="J227" s="70"/>
      <c r="K227" s="69">
        <v>1</v>
      </c>
      <c r="L227" s="21"/>
      <c r="M227" s="21"/>
      <c r="N227" s="19">
        <f>SUM(J227:K227)</f>
        <v>1</v>
      </c>
      <c r="O227" s="19">
        <f>SUM(L227:M227)</f>
        <v>0</v>
      </c>
      <c r="P227" s="85" t="s">
        <v>30</v>
      </c>
      <c r="Q227" s="39" t="s">
        <v>139</v>
      </c>
    </row>
    <row r="228" spans="1:17" ht="15.75" customHeight="1">
      <c r="A228" s="13" t="s">
        <v>25</v>
      </c>
      <c r="B228" s="13" t="s">
        <v>26</v>
      </c>
      <c r="C228" s="13" t="s">
        <v>9</v>
      </c>
      <c r="D228" s="15" t="s">
        <v>322</v>
      </c>
      <c r="E228" s="16" t="s">
        <v>365</v>
      </c>
      <c r="F228" s="15" t="s">
        <v>366</v>
      </c>
      <c r="G228" s="17">
        <v>225000</v>
      </c>
      <c r="H228" s="20" t="s">
        <v>364</v>
      </c>
      <c r="I228" s="19" t="str">
        <f>IF(N228&gt;1,"group","individual")</f>
        <v>individual</v>
      </c>
      <c r="J228" s="69">
        <v>1</v>
      </c>
      <c r="K228" s="70"/>
      <c r="L228" s="21"/>
      <c r="M228" s="21"/>
      <c r="N228" s="19">
        <f>SUM(J228:K228)</f>
        <v>1</v>
      </c>
      <c r="O228" s="19">
        <f>SUM(L228:M228)</f>
        <v>0</v>
      </c>
      <c r="P228" s="85" t="s">
        <v>30</v>
      </c>
      <c r="Q228" s="39" t="s">
        <v>139</v>
      </c>
    </row>
    <row r="229" spans="1:17" ht="15.75" customHeight="1">
      <c r="A229" s="13" t="s">
        <v>25</v>
      </c>
      <c r="B229" s="13" t="s">
        <v>26</v>
      </c>
      <c r="C229" s="13" t="s">
        <v>9</v>
      </c>
      <c r="D229" s="15" t="s">
        <v>322</v>
      </c>
      <c r="E229" s="16" t="s">
        <v>367</v>
      </c>
      <c r="F229" s="15" t="s">
        <v>76</v>
      </c>
      <c r="G229" s="17">
        <v>225000</v>
      </c>
      <c r="H229" s="20" t="s">
        <v>364</v>
      </c>
      <c r="I229" s="19" t="str">
        <f>IF(N229&gt;1,"group","individual")</f>
        <v>individual</v>
      </c>
      <c r="J229" s="70"/>
      <c r="K229" s="69">
        <v>1</v>
      </c>
      <c r="L229" s="21"/>
      <c r="M229" s="21"/>
      <c r="N229" s="19">
        <f>SUM(J229:K229)</f>
        <v>1</v>
      </c>
      <c r="O229" s="19">
        <f>SUM(L229:M229)</f>
        <v>0</v>
      </c>
      <c r="P229" s="59" t="s">
        <v>30</v>
      </c>
      <c r="Q229" s="23" t="s">
        <v>368</v>
      </c>
    </row>
    <row r="230" spans="1:17" ht="15.75" customHeight="1">
      <c r="A230" s="13" t="s">
        <v>25</v>
      </c>
      <c r="B230" s="13" t="s">
        <v>26</v>
      </c>
      <c r="C230" s="13" t="s">
        <v>9</v>
      </c>
      <c r="D230" s="15" t="s">
        <v>322</v>
      </c>
      <c r="E230" s="16" t="s">
        <v>369</v>
      </c>
      <c r="F230" s="15" t="s">
        <v>370</v>
      </c>
      <c r="G230" s="17">
        <v>75000</v>
      </c>
      <c r="H230" s="150" t="s">
        <v>364</v>
      </c>
      <c r="I230" s="19" t="str">
        <f>IF(N230&gt;1,"group","individual")</f>
        <v>individual</v>
      </c>
      <c r="J230" s="69">
        <v>1</v>
      </c>
      <c r="K230" s="70"/>
      <c r="L230" s="21"/>
      <c r="M230" s="21"/>
      <c r="N230" s="19">
        <f>SUM(J230:K230)</f>
        <v>1</v>
      </c>
      <c r="O230" s="19">
        <f>SUM(L230:M230)</f>
        <v>0</v>
      </c>
      <c r="P230" s="59" t="s">
        <v>183</v>
      </c>
      <c r="Q230" s="23" t="s">
        <v>371</v>
      </c>
    </row>
    <row r="231" spans="1:17" ht="15.75" customHeight="1">
      <c r="A231" s="13" t="s">
        <v>25</v>
      </c>
      <c r="B231" s="13" t="s">
        <v>26</v>
      </c>
      <c r="C231" s="13" t="s">
        <v>9</v>
      </c>
      <c r="D231" s="15" t="s">
        <v>322</v>
      </c>
      <c r="E231" s="16" t="s">
        <v>372</v>
      </c>
      <c r="F231" s="70" t="s">
        <v>76</v>
      </c>
      <c r="G231" s="17">
        <v>225000</v>
      </c>
      <c r="H231" s="150" t="s">
        <v>364</v>
      </c>
      <c r="I231" s="19" t="str">
        <f>IF(N231&gt;1,"group","individual")</f>
        <v>individual</v>
      </c>
      <c r="J231" s="70"/>
      <c r="K231" s="69">
        <v>1</v>
      </c>
      <c r="L231" s="21"/>
      <c r="M231" s="21"/>
      <c r="N231" s="19">
        <f>SUM(J231:K231)</f>
        <v>1</v>
      </c>
      <c r="O231" s="19">
        <f>SUM(L231:M231)</f>
        <v>0</v>
      </c>
      <c r="P231" s="59" t="s">
        <v>30</v>
      </c>
      <c r="Q231" s="23" t="s">
        <v>368</v>
      </c>
    </row>
    <row r="232" spans="1:17" ht="15.75" customHeight="1">
      <c r="A232" s="13" t="s">
        <v>25</v>
      </c>
      <c r="B232" s="13" t="s">
        <v>26</v>
      </c>
      <c r="C232" s="13" t="s">
        <v>9</v>
      </c>
      <c r="D232" s="15" t="s">
        <v>322</v>
      </c>
      <c r="E232" s="16" t="s">
        <v>373</v>
      </c>
      <c r="F232" s="15" t="s">
        <v>374</v>
      </c>
      <c r="G232" s="17">
        <v>75000</v>
      </c>
      <c r="H232" s="150" t="s">
        <v>364</v>
      </c>
      <c r="I232" s="19" t="str">
        <f>IF(N232&gt;1,"group","individual")</f>
        <v>individual</v>
      </c>
      <c r="J232" s="70"/>
      <c r="K232" s="69">
        <v>1</v>
      </c>
      <c r="L232" s="21"/>
      <c r="M232" s="21"/>
      <c r="N232" s="19">
        <f>SUM(J232:K232)</f>
        <v>1</v>
      </c>
      <c r="O232" s="19">
        <f>SUM(L232:M232)</f>
        <v>0</v>
      </c>
      <c r="P232" s="59" t="s">
        <v>30</v>
      </c>
      <c r="Q232" s="23" t="s">
        <v>368</v>
      </c>
    </row>
    <row r="233" spans="1:17" ht="15.75" customHeight="1">
      <c r="A233" s="13" t="s">
        <v>25</v>
      </c>
      <c r="B233" s="13" t="s">
        <v>26</v>
      </c>
      <c r="C233" s="13" t="s">
        <v>9</v>
      </c>
      <c r="D233" s="15" t="s">
        <v>322</v>
      </c>
      <c r="E233" s="16" t="s">
        <v>375</v>
      </c>
      <c r="F233" s="15" t="s">
        <v>376</v>
      </c>
      <c r="G233" s="17">
        <v>75000</v>
      </c>
      <c r="H233" s="20" t="s">
        <v>364</v>
      </c>
      <c r="I233" s="19" t="str">
        <f>IF(N233&gt;1,"group","individual")</f>
        <v>individual</v>
      </c>
      <c r="J233" s="70"/>
      <c r="K233" s="69">
        <v>1</v>
      </c>
      <c r="L233" s="21"/>
      <c r="M233" s="21"/>
      <c r="N233" s="19">
        <f>SUM(J233:K233)</f>
        <v>1</v>
      </c>
      <c r="O233" s="19">
        <f>SUM(L233:M233)</f>
        <v>0</v>
      </c>
      <c r="P233" s="59" t="s">
        <v>30</v>
      </c>
      <c r="Q233" s="23" t="s">
        <v>368</v>
      </c>
    </row>
    <row r="234" spans="1:17" ht="15.75" customHeight="1">
      <c r="A234" s="44" t="s">
        <v>25</v>
      </c>
      <c r="B234" s="44" t="s">
        <v>26</v>
      </c>
      <c r="C234" s="44" t="s">
        <v>9</v>
      </c>
      <c r="D234" s="15" t="s">
        <v>322</v>
      </c>
      <c r="E234" s="16" t="s">
        <v>377</v>
      </c>
      <c r="F234" s="15" t="s">
        <v>37</v>
      </c>
      <c r="G234" s="17">
        <v>225000</v>
      </c>
      <c r="H234" s="20" t="s">
        <v>364</v>
      </c>
      <c r="I234" s="19" t="str">
        <f>IF(N234&gt;1,"group","individual")</f>
        <v>individual</v>
      </c>
      <c r="J234" s="70"/>
      <c r="K234" s="69">
        <v>1</v>
      </c>
      <c r="L234" s="21"/>
      <c r="M234" s="21"/>
      <c r="N234" s="19">
        <f>SUM(J234:K234)</f>
        <v>1</v>
      </c>
      <c r="O234" s="19">
        <f>SUM(L234:M234)</f>
        <v>0</v>
      </c>
      <c r="P234" s="59" t="s">
        <v>30</v>
      </c>
      <c r="Q234" s="23" t="s">
        <v>368</v>
      </c>
    </row>
    <row r="235" spans="1:17" ht="15.75" customHeight="1">
      <c r="A235" s="44" t="s">
        <v>25</v>
      </c>
      <c r="B235" s="44" t="s">
        <v>26</v>
      </c>
      <c r="C235" s="44" t="s">
        <v>9</v>
      </c>
      <c r="D235" s="15" t="s">
        <v>322</v>
      </c>
      <c r="E235" s="16" t="s">
        <v>378</v>
      </c>
      <c r="F235" s="15" t="s">
        <v>90</v>
      </c>
      <c r="G235" s="17">
        <v>150000</v>
      </c>
      <c r="H235" s="150" t="s">
        <v>364</v>
      </c>
      <c r="I235" s="19" t="str">
        <f>IF(N235&gt;1,"group","individual")</f>
        <v>individual</v>
      </c>
      <c r="J235" s="70"/>
      <c r="K235" s="69">
        <v>1</v>
      </c>
      <c r="L235" s="21"/>
      <c r="M235" s="21"/>
      <c r="N235" s="19">
        <f>SUM(J235:K235)</f>
        <v>1</v>
      </c>
      <c r="O235" s="19">
        <f>SUM(L235:M235)</f>
        <v>0</v>
      </c>
      <c r="P235" s="59" t="s">
        <v>30</v>
      </c>
      <c r="Q235" s="23" t="s">
        <v>368</v>
      </c>
    </row>
    <row r="236" spans="1:17" ht="15.75" customHeight="1">
      <c r="A236" s="44" t="s">
        <v>25</v>
      </c>
      <c r="B236" s="44" t="s">
        <v>26</v>
      </c>
      <c r="C236" s="44" t="s">
        <v>9</v>
      </c>
      <c r="D236" s="15" t="s">
        <v>322</v>
      </c>
      <c r="E236" s="16" t="s">
        <v>379</v>
      </c>
      <c r="F236" s="15" t="s">
        <v>264</v>
      </c>
      <c r="G236" s="17">
        <v>75000</v>
      </c>
      <c r="H236" s="150" t="s">
        <v>364</v>
      </c>
      <c r="I236" s="19" t="str">
        <f>IF(N236&gt;1,"group","individual")</f>
        <v>individual</v>
      </c>
      <c r="J236" s="69">
        <v>1</v>
      </c>
      <c r="K236" s="70"/>
      <c r="L236" s="21"/>
      <c r="M236" s="21"/>
      <c r="N236" s="19">
        <f>SUM(J236:K236)</f>
        <v>1</v>
      </c>
      <c r="O236" s="19">
        <f>SUM(L236:M236)</f>
        <v>0</v>
      </c>
      <c r="P236" s="72"/>
      <c r="Q236" s="41"/>
    </row>
    <row r="237" spans="1:17" ht="15.75" customHeight="1">
      <c r="A237" s="44" t="s">
        <v>25</v>
      </c>
      <c r="B237" s="44" t="s">
        <v>26</v>
      </c>
      <c r="C237" s="44" t="s">
        <v>9</v>
      </c>
      <c r="D237" s="15" t="s">
        <v>322</v>
      </c>
      <c r="E237" s="16" t="s">
        <v>380</v>
      </c>
      <c r="F237" s="15" t="s">
        <v>381</v>
      </c>
      <c r="G237" s="17">
        <v>225000</v>
      </c>
      <c r="H237" s="150" t="s">
        <v>364</v>
      </c>
      <c r="I237" s="19" t="str">
        <f>IF(N237&gt;1,"group","individual")</f>
        <v>individual</v>
      </c>
      <c r="J237" s="70"/>
      <c r="K237" s="69">
        <v>1</v>
      </c>
      <c r="L237" s="21"/>
      <c r="M237" s="21"/>
      <c r="N237" s="19">
        <f>SUM(J237:K237)</f>
        <v>1</v>
      </c>
      <c r="O237" s="19">
        <f>SUM(L237:M237)</f>
        <v>0</v>
      </c>
      <c r="P237" s="72"/>
      <c r="Q237" s="41"/>
    </row>
    <row r="238" spans="1:17" ht="15.75" customHeight="1">
      <c r="A238" s="120" t="s">
        <v>25</v>
      </c>
      <c r="B238" s="120" t="s">
        <v>26</v>
      </c>
      <c r="C238" s="120" t="s">
        <v>9</v>
      </c>
      <c r="D238" s="87" t="s">
        <v>322</v>
      </c>
      <c r="E238" s="91" t="s">
        <v>382</v>
      </c>
      <c r="F238" s="87" t="s">
        <v>141</v>
      </c>
      <c r="G238" s="33">
        <v>225000</v>
      </c>
      <c r="H238" s="34" t="s">
        <v>383</v>
      </c>
      <c r="I238" s="19" t="str">
        <f>IF(N238&gt;1,"group","individual")</f>
        <v>individual</v>
      </c>
      <c r="J238" s="88">
        <v>1</v>
      </c>
      <c r="K238" s="87"/>
      <c r="L238" s="120"/>
      <c r="M238" s="120"/>
      <c r="N238" s="19">
        <f>SUM(J238:K238)</f>
        <v>1</v>
      </c>
      <c r="O238" s="19">
        <f>SUM(L238:M238)</f>
        <v>0</v>
      </c>
      <c r="P238" s="72"/>
      <c r="Q238" s="41"/>
    </row>
    <row r="239" spans="1:17" ht="15.75" customHeight="1">
      <c r="A239" s="120" t="s">
        <v>25</v>
      </c>
      <c r="B239" s="120" t="s">
        <v>26</v>
      </c>
      <c r="C239" s="120" t="s">
        <v>9</v>
      </c>
      <c r="D239" s="87" t="s">
        <v>384</v>
      </c>
      <c r="E239" s="91" t="s">
        <v>385</v>
      </c>
      <c r="F239" s="87" t="s">
        <v>37</v>
      </c>
      <c r="G239" s="33">
        <v>225000</v>
      </c>
      <c r="H239" s="34" t="s">
        <v>383</v>
      </c>
      <c r="I239" s="19" t="str">
        <f>IF(N239&gt;1,"group","individual")</f>
        <v>individual</v>
      </c>
      <c r="J239" s="87"/>
      <c r="K239" s="88">
        <v>1</v>
      </c>
      <c r="L239" s="173"/>
      <c r="M239" s="155"/>
      <c r="N239" s="19">
        <f>SUM(J239:K239)</f>
        <v>1</v>
      </c>
      <c r="O239" s="19">
        <f>SUM(L239:M239)</f>
        <v>0</v>
      </c>
      <c r="P239" s="72"/>
      <c r="Q239" s="41"/>
    </row>
    <row r="240" spans="1:17" ht="15.75" customHeight="1">
      <c r="A240" s="13" t="s">
        <v>25</v>
      </c>
      <c r="B240" s="13" t="s">
        <v>26</v>
      </c>
      <c r="C240" s="13" t="s">
        <v>9</v>
      </c>
      <c r="D240" s="15" t="s">
        <v>322</v>
      </c>
      <c r="E240" s="16" t="s">
        <v>386</v>
      </c>
      <c r="F240" s="15" t="s">
        <v>37</v>
      </c>
      <c r="G240" s="17">
        <v>225000</v>
      </c>
      <c r="H240" s="20" t="s">
        <v>387</v>
      </c>
      <c r="I240" s="19" t="str">
        <f>IF(N240&gt;1,"group","individual")</f>
        <v>individual</v>
      </c>
      <c r="J240" s="70"/>
      <c r="K240" s="69">
        <v>1</v>
      </c>
      <c r="L240" s="21"/>
      <c r="M240" s="21"/>
      <c r="N240" s="19">
        <f>SUM(J240:K240)</f>
        <v>1</v>
      </c>
      <c r="O240" s="19">
        <f>SUM(L240:M240)</f>
        <v>0</v>
      </c>
      <c r="P240" s="59" t="s">
        <v>30</v>
      </c>
      <c r="Q240" s="23" t="s">
        <v>388</v>
      </c>
    </row>
    <row r="241" spans="1:17" ht="15.75" customHeight="1">
      <c r="A241" s="13" t="s">
        <v>25</v>
      </c>
      <c r="B241" s="13" t="s">
        <v>26</v>
      </c>
      <c r="C241" s="13" t="s">
        <v>9</v>
      </c>
      <c r="D241" s="15" t="s">
        <v>322</v>
      </c>
      <c r="E241" s="159" t="s">
        <v>389</v>
      </c>
      <c r="F241" s="101" t="s">
        <v>390</v>
      </c>
      <c r="G241" s="102">
        <v>180000</v>
      </c>
      <c r="H241" s="166" t="s">
        <v>387</v>
      </c>
      <c r="I241" s="19" t="str">
        <f>IF(N241&gt;1,"group","individual")</f>
        <v>individual</v>
      </c>
      <c r="J241" s="103">
        <v>1</v>
      </c>
      <c r="K241" s="101"/>
      <c r="L241" s="21"/>
      <c r="M241" s="21"/>
      <c r="N241" s="19">
        <f>SUM(J241:K241)</f>
        <v>1</v>
      </c>
      <c r="O241" s="19">
        <f>SUM(L241:M241)</f>
        <v>0</v>
      </c>
      <c r="P241" s="59" t="s">
        <v>30</v>
      </c>
      <c r="Q241" s="23" t="s">
        <v>388</v>
      </c>
    </row>
    <row r="242" spans="1:17" ht="15.75" customHeight="1">
      <c r="A242" s="13" t="s">
        <v>25</v>
      </c>
      <c r="B242" s="13" t="s">
        <v>26</v>
      </c>
      <c r="C242" s="13" t="s">
        <v>9</v>
      </c>
      <c r="D242" s="15" t="s">
        <v>322</v>
      </c>
      <c r="E242" s="159" t="s">
        <v>391</v>
      </c>
      <c r="F242" s="101" t="s">
        <v>186</v>
      </c>
      <c r="G242" s="102">
        <v>225000</v>
      </c>
      <c r="H242" s="150" t="s">
        <v>387</v>
      </c>
      <c r="I242" s="19" t="str">
        <f>IF(N242&gt;1,"group","individual")</f>
        <v>individual</v>
      </c>
      <c r="J242" s="103">
        <v>1</v>
      </c>
      <c r="K242" s="101"/>
      <c r="L242" s="21"/>
      <c r="M242" s="21"/>
      <c r="N242" s="19">
        <f>SUM(J242:K242)</f>
        <v>1</v>
      </c>
      <c r="O242" s="19">
        <f>SUM(L242:M242)</f>
        <v>0</v>
      </c>
      <c r="P242" s="59" t="s">
        <v>30</v>
      </c>
      <c r="Q242" s="23" t="s">
        <v>156</v>
      </c>
    </row>
    <row r="243" spans="1:17" ht="15.75" customHeight="1">
      <c r="A243" s="13" t="s">
        <v>25</v>
      </c>
      <c r="B243" s="13" t="s">
        <v>26</v>
      </c>
      <c r="C243" s="13" t="s">
        <v>9</v>
      </c>
      <c r="D243" s="15" t="s">
        <v>322</v>
      </c>
      <c r="E243" s="159" t="s">
        <v>392</v>
      </c>
      <c r="F243" s="101" t="s">
        <v>393</v>
      </c>
      <c r="G243" s="102">
        <v>225000</v>
      </c>
      <c r="H243" s="150" t="s">
        <v>387</v>
      </c>
      <c r="I243" s="19" t="str">
        <f>IF(N243&gt;1,"group","individual")</f>
        <v>individual</v>
      </c>
      <c r="J243" s="103">
        <v>1</v>
      </c>
      <c r="K243" s="101"/>
      <c r="L243" s="21"/>
      <c r="M243" s="21"/>
      <c r="N243" s="19">
        <f>SUM(J243:K243)</f>
        <v>1</v>
      </c>
      <c r="O243" s="19">
        <f>SUM(L243:M243)</f>
        <v>0</v>
      </c>
      <c r="P243" s="59" t="s">
        <v>30</v>
      </c>
      <c r="Q243" s="23" t="s">
        <v>42</v>
      </c>
    </row>
    <row r="244" spans="1:17" ht="15.75" customHeight="1">
      <c r="A244" s="13" t="s">
        <v>394</v>
      </c>
      <c r="B244" s="13" t="s">
        <v>26</v>
      </c>
      <c r="C244" s="13" t="s">
        <v>9</v>
      </c>
      <c r="D244" s="15" t="s">
        <v>322</v>
      </c>
      <c r="E244" s="159" t="s">
        <v>395</v>
      </c>
      <c r="F244" s="101" t="s">
        <v>396</v>
      </c>
      <c r="G244" s="102">
        <v>75000</v>
      </c>
      <c r="H244" s="20" t="s">
        <v>387</v>
      </c>
      <c r="I244" s="19" t="str">
        <f>IF(N244&gt;1,"group","individual")</f>
        <v>individual</v>
      </c>
      <c r="J244" s="104"/>
      <c r="K244" s="101"/>
      <c r="L244" s="93">
        <v>1</v>
      </c>
      <c r="M244" s="21"/>
      <c r="N244" s="19">
        <f>SUM(J244:K244)</f>
        <v>0</v>
      </c>
      <c r="O244" s="19">
        <f>SUM(L244:M244)</f>
        <v>1</v>
      </c>
      <c r="P244" s="59" t="s">
        <v>30</v>
      </c>
      <c r="Q244" s="23" t="s">
        <v>242</v>
      </c>
    </row>
    <row r="245" spans="1:17" ht="15.75" customHeight="1">
      <c r="A245" s="118" t="s">
        <v>25</v>
      </c>
      <c r="B245" s="118" t="s">
        <v>26</v>
      </c>
      <c r="C245" s="118" t="s">
        <v>9</v>
      </c>
      <c r="D245" s="70" t="s">
        <v>322</v>
      </c>
      <c r="E245" s="101" t="s">
        <v>397</v>
      </c>
      <c r="F245" s="101" t="s">
        <v>186</v>
      </c>
      <c r="G245" s="102">
        <v>75000</v>
      </c>
      <c r="H245" s="150" t="s">
        <v>387</v>
      </c>
      <c r="I245" s="19" t="str">
        <f>IF(N245&gt;1,"group","individual")</f>
        <v>individual</v>
      </c>
      <c r="J245" s="103">
        <v>1</v>
      </c>
      <c r="K245" s="101"/>
      <c r="L245" s="118"/>
      <c r="M245" s="118"/>
      <c r="N245" s="19">
        <f>SUM(J245:K245)</f>
        <v>1</v>
      </c>
      <c r="O245" s="19">
        <f>SUM(L245:M245)</f>
        <v>0</v>
      </c>
      <c r="P245" s="59" t="s">
        <v>30</v>
      </c>
      <c r="Q245" s="23" t="s">
        <v>398</v>
      </c>
    </row>
    <row r="246" spans="1:17" ht="15.75" customHeight="1">
      <c r="A246" s="118" t="s">
        <v>25</v>
      </c>
      <c r="B246" s="118" t="s">
        <v>26</v>
      </c>
      <c r="C246" s="118" t="s">
        <v>9</v>
      </c>
      <c r="D246" s="70" t="s">
        <v>322</v>
      </c>
      <c r="E246" s="101" t="s">
        <v>399</v>
      </c>
      <c r="F246" s="101" t="s">
        <v>393</v>
      </c>
      <c r="G246" s="102">
        <v>73000</v>
      </c>
      <c r="H246" s="150" t="s">
        <v>387</v>
      </c>
      <c r="I246" s="19" t="str">
        <f>IF(N246&gt;1,"group","individual")</f>
        <v>individual</v>
      </c>
      <c r="J246" s="104"/>
      <c r="K246" s="101"/>
      <c r="L246" s="118"/>
      <c r="M246" s="93">
        <v>1</v>
      </c>
      <c r="N246" s="19">
        <f>SUM(J246:K246)</f>
        <v>0</v>
      </c>
      <c r="O246" s="19">
        <f>SUM(L246:M246)</f>
        <v>1</v>
      </c>
      <c r="P246" s="59" t="s">
        <v>30</v>
      </c>
      <c r="Q246" s="23" t="s">
        <v>55</v>
      </c>
    </row>
    <row r="247" spans="1:17" ht="15.75" customHeight="1">
      <c r="A247" s="13" t="s">
        <v>25</v>
      </c>
      <c r="B247" s="13" t="s">
        <v>26</v>
      </c>
      <c r="C247" s="13" t="s">
        <v>9</v>
      </c>
      <c r="D247" s="15" t="s">
        <v>322</v>
      </c>
      <c r="E247" s="15" t="s">
        <v>400</v>
      </c>
      <c r="F247" s="15" t="s">
        <v>186</v>
      </c>
      <c r="G247" s="17">
        <v>225000</v>
      </c>
      <c r="H247" s="150" t="s">
        <v>146</v>
      </c>
      <c r="I247" s="19" t="str">
        <f>IF(N247&gt;1,"group","individual")</f>
        <v>individual</v>
      </c>
      <c r="J247" s="70"/>
      <c r="K247" s="69">
        <v>1</v>
      </c>
      <c r="L247" s="21"/>
      <c r="M247" s="21"/>
      <c r="N247" s="19">
        <f>SUM(J247:K247)</f>
        <v>1</v>
      </c>
      <c r="O247" s="19">
        <f>SUM(L247:M247)</f>
        <v>0</v>
      </c>
      <c r="P247" s="59" t="s">
        <v>30</v>
      </c>
      <c r="Q247" s="23" t="s">
        <v>401</v>
      </c>
    </row>
    <row r="248" spans="1:17" ht="15.75" customHeight="1">
      <c r="A248" s="13" t="s">
        <v>25</v>
      </c>
      <c r="B248" s="13" t="s">
        <v>26</v>
      </c>
      <c r="C248" s="13" t="s">
        <v>9</v>
      </c>
      <c r="D248" s="15" t="s">
        <v>322</v>
      </c>
      <c r="E248" s="15" t="s">
        <v>402</v>
      </c>
      <c r="F248" s="15" t="s">
        <v>403</v>
      </c>
      <c r="G248" s="17">
        <v>75000</v>
      </c>
      <c r="H248" s="150" t="s">
        <v>146</v>
      </c>
      <c r="I248" s="19" t="str">
        <f>IF(N248&gt;1,"group","individual")</f>
        <v>individual</v>
      </c>
      <c r="J248" s="70"/>
      <c r="K248" s="69">
        <v>1</v>
      </c>
      <c r="L248" s="21"/>
      <c r="M248" s="21"/>
      <c r="N248" s="19">
        <f>SUM(J248:K248)</f>
        <v>1</v>
      </c>
      <c r="O248" s="19">
        <f>SUM(L248:M248)</f>
        <v>0</v>
      </c>
      <c r="P248" s="59" t="s">
        <v>30</v>
      </c>
      <c r="Q248" s="23" t="s">
        <v>401</v>
      </c>
    </row>
    <row r="249" spans="1:17" ht="15.75" customHeight="1">
      <c r="A249" s="13" t="s">
        <v>25</v>
      </c>
      <c r="B249" s="13" t="s">
        <v>26</v>
      </c>
      <c r="C249" s="13" t="s">
        <v>9</v>
      </c>
      <c r="D249" s="15" t="s">
        <v>322</v>
      </c>
      <c r="E249" s="63" t="s">
        <v>404</v>
      </c>
      <c r="F249" s="63" t="s">
        <v>37</v>
      </c>
      <c r="G249" s="65">
        <v>75000</v>
      </c>
      <c r="H249" s="64" t="s">
        <v>146</v>
      </c>
      <c r="I249" s="19" t="str">
        <f>IF(N249&gt;1,"group","individual")</f>
        <v>individual</v>
      </c>
      <c r="J249" s="170">
        <v>1</v>
      </c>
      <c r="K249" s="63"/>
      <c r="L249" s="21"/>
      <c r="M249" s="21"/>
      <c r="N249" s="19">
        <f>SUM(J249:K249)</f>
        <v>1</v>
      </c>
      <c r="O249" s="19">
        <f>SUM(L249:M249)</f>
        <v>0</v>
      </c>
      <c r="P249" s="59" t="s">
        <v>30</v>
      </c>
      <c r="Q249" s="23" t="s">
        <v>401</v>
      </c>
    </row>
    <row r="250" spans="1:17" ht="15.75" customHeight="1">
      <c r="A250" s="13" t="s">
        <v>25</v>
      </c>
      <c r="B250" s="13" t="s">
        <v>26</v>
      </c>
      <c r="C250" s="13" t="s">
        <v>9</v>
      </c>
      <c r="D250" s="15" t="s">
        <v>322</v>
      </c>
      <c r="E250" s="15" t="s">
        <v>405</v>
      </c>
      <c r="F250" s="15" t="s">
        <v>37</v>
      </c>
      <c r="G250" s="17">
        <v>225000</v>
      </c>
      <c r="H250" s="150" t="s">
        <v>146</v>
      </c>
      <c r="I250" s="19" t="str">
        <f>IF(N250&gt;1,"group","individual")</f>
        <v>individual</v>
      </c>
      <c r="J250" s="70"/>
      <c r="K250" s="69">
        <v>1</v>
      </c>
      <c r="L250" s="21"/>
      <c r="M250" s="21"/>
      <c r="N250" s="19">
        <f>SUM(J250:K250)</f>
        <v>1</v>
      </c>
      <c r="O250" s="19">
        <f>SUM(L250:M250)</f>
        <v>0</v>
      </c>
      <c r="P250" s="59" t="s">
        <v>30</v>
      </c>
      <c r="Q250" s="23" t="s">
        <v>401</v>
      </c>
    </row>
    <row r="251" spans="1:17" ht="15.75" customHeight="1">
      <c r="A251" s="98" t="s">
        <v>25</v>
      </c>
      <c r="B251" s="98" t="s">
        <v>26</v>
      </c>
      <c r="C251" s="98" t="s">
        <v>9</v>
      </c>
      <c r="D251" s="96" t="s">
        <v>322</v>
      </c>
      <c r="E251" s="96" t="s">
        <v>406</v>
      </c>
      <c r="F251" s="96" t="s">
        <v>37</v>
      </c>
      <c r="G251" s="94">
        <v>75000</v>
      </c>
      <c r="H251" s="95">
        <v>45923</v>
      </c>
      <c r="I251" s="19" t="str">
        <f>IF(N251&gt;1,"group","individual")</f>
        <v>individual</v>
      </c>
      <c r="J251" s="96"/>
      <c r="K251" s="97">
        <v>1</v>
      </c>
      <c r="L251" s="98"/>
      <c r="M251" s="98"/>
      <c r="N251" s="19">
        <f>SUM(J251:K251)</f>
        <v>1</v>
      </c>
      <c r="O251" s="19">
        <f>SUM(L251:M251)</f>
        <v>0</v>
      </c>
      <c r="P251" s="59" t="s">
        <v>30</v>
      </c>
      <c r="Q251" s="23" t="s">
        <v>401</v>
      </c>
    </row>
    <row r="252" spans="1:17" ht="15.75" customHeight="1">
      <c r="A252" s="98" t="s">
        <v>25</v>
      </c>
      <c r="B252" s="98" t="s">
        <v>26</v>
      </c>
      <c r="C252" s="98" t="s">
        <v>9</v>
      </c>
      <c r="D252" s="96" t="s">
        <v>322</v>
      </c>
      <c r="E252" s="96" t="s">
        <v>407</v>
      </c>
      <c r="F252" s="96" t="s">
        <v>37</v>
      </c>
      <c r="G252" s="94">
        <v>75000</v>
      </c>
      <c r="H252" s="99">
        <v>45919</v>
      </c>
      <c r="I252" s="19" t="str">
        <f>IF(N252&gt;1,"group","individual")</f>
        <v>individual</v>
      </c>
      <c r="J252" s="96"/>
      <c r="K252" s="97">
        <v>1</v>
      </c>
      <c r="L252" s="98"/>
      <c r="M252" s="98"/>
      <c r="N252" s="19">
        <f>SUM(J252:K252)</f>
        <v>1</v>
      </c>
      <c r="O252" s="19">
        <f>SUM(L252:M252)</f>
        <v>0</v>
      </c>
      <c r="P252" s="59" t="s">
        <v>30</v>
      </c>
      <c r="Q252" s="23" t="s">
        <v>401</v>
      </c>
    </row>
    <row r="253" spans="1:17" ht="15.75" customHeight="1">
      <c r="A253" s="98" t="s">
        <v>25</v>
      </c>
      <c r="B253" s="98" t="s">
        <v>26</v>
      </c>
      <c r="C253" s="98" t="s">
        <v>9</v>
      </c>
      <c r="D253" s="96" t="s">
        <v>322</v>
      </c>
      <c r="E253" s="96" t="s">
        <v>408</v>
      </c>
      <c r="F253" s="96" t="s">
        <v>76</v>
      </c>
      <c r="G253" s="94">
        <v>75000</v>
      </c>
      <c r="H253" s="164">
        <v>45923</v>
      </c>
      <c r="I253" s="19" t="str">
        <f>IF(N253&gt;1,"group","individual")</f>
        <v>individual</v>
      </c>
      <c r="J253" s="96"/>
      <c r="K253" s="97">
        <v>1</v>
      </c>
      <c r="L253" s="98"/>
      <c r="M253" s="98"/>
      <c r="N253" s="19">
        <f>SUM(J253:K253)</f>
        <v>1</v>
      </c>
      <c r="O253" s="19">
        <f>SUM(L253:M253)</f>
        <v>0</v>
      </c>
      <c r="P253" s="22" t="s">
        <v>30</v>
      </c>
      <c r="Q253" s="23" t="s">
        <v>103</v>
      </c>
    </row>
    <row r="254" spans="1:17" ht="15.75" customHeight="1">
      <c r="A254" s="98" t="s">
        <v>25</v>
      </c>
      <c r="B254" s="98" t="s">
        <v>26</v>
      </c>
      <c r="C254" s="98" t="s">
        <v>9</v>
      </c>
      <c r="D254" s="96" t="s">
        <v>322</v>
      </c>
      <c r="E254" s="96" t="s">
        <v>409</v>
      </c>
      <c r="F254" s="96" t="s">
        <v>410</v>
      </c>
      <c r="G254" s="94">
        <v>75000</v>
      </c>
      <c r="H254" s="99">
        <v>45924</v>
      </c>
      <c r="I254" s="19" t="str">
        <f>IF(N254&gt;1,"group","individual")</f>
        <v>individual</v>
      </c>
      <c r="J254" s="97">
        <v>1</v>
      </c>
      <c r="K254" s="96"/>
      <c r="L254" s="98"/>
      <c r="M254" s="98"/>
      <c r="N254" s="19">
        <f>SUM(J254:K254)</f>
        <v>1</v>
      </c>
      <c r="O254" s="19">
        <f>SUM(L254:M254)</f>
        <v>0</v>
      </c>
      <c r="P254" s="22" t="s">
        <v>30</v>
      </c>
      <c r="Q254" s="23" t="s">
        <v>103</v>
      </c>
    </row>
    <row r="255" spans="1:17" ht="15.75" customHeight="1">
      <c r="A255" s="98" t="s">
        <v>25</v>
      </c>
      <c r="B255" s="98" t="s">
        <v>26</v>
      </c>
      <c r="C255" s="98" t="s">
        <v>9</v>
      </c>
      <c r="D255" s="96" t="s">
        <v>322</v>
      </c>
      <c r="E255" s="96" t="s">
        <v>411</v>
      </c>
      <c r="F255" s="96" t="s">
        <v>37</v>
      </c>
      <c r="G255" s="94">
        <v>75000</v>
      </c>
      <c r="H255" s="99">
        <v>45924</v>
      </c>
      <c r="I255" s="19" t="str">
        <f>IF(N255&gt;1,"group","individual")</f>
        <v>individual</v>
      </c>
      <c r="J255" s="96"/>
      <c r="K255" s="97">
        <v>1</v>
      </c>
      <c r="L255" s="98"/>
      <c r="M255" s="98"/>
      <c r="N255" s="19">
        <f>SUM(J255:K255)</f>
        <v>1</v>
      </c>
      <c r="O255" s="19">
        <f>SUM(L255:M255)</f>
        <v>0</v>
      </c>
      <c r="P255" s="22" t="s">
        <v>30</v>
      </c>
      <c r="Q255" s="23" t="s">
        <v>412</v>
      </c>
    </row>
    <row r="256" spans="1:17" ht="15.75" customHeight="1">
      <c r="A256" s="98" t="s">
        <v>25</v>
      </c>
      <c r="B256" s="98" t="s">
        <v>26</v>
      </c>
      <c r="C256" s="98" t="s">
        <v>9</v>
      </c>
      <c r="D256" s="96" t="s">
        <v>322</v>
      </c>
      <c r="E256" s="96" t="s">
        <v>413</v>
      </c>
      <c r="F256" s="96" t="s">
        <v>90</v>
      </c>
      <c r="G256" s="94">
        <v>150000</v>
      </c>
      <c r="H256" s="99">
        <v>45924</v>
      </c>
      <c r="I256" s="19" t="str">
        <f>IF(N256&gt;1,"group","individual")</f>
        <v>group</v>
      </c>
      <c r="J256" s="97">
        <v>2</v>
      </c>
      <c r="K256" s="96"/>
      <c r="L256" s="98"/>
      <c r="M256" s="98"/>
      <c r="N256" s="19">
        <f>SUM(J256:K256)</f>
        <v>2</v>
      </c>
      <c r="O256" s="19">
        <f>SUM(L256:M256)</f>
        <v>0</v>
      </c>
      <c r="P256" s="22" t="s">
        <v>183</v>
      </c>
      <c r="Q256" s="100" t="s">
        <v>414</v>
      </c>
    </row>
    <row r="257" spans="1:17" ht="15.75" customHeight="1">
      <c r="A257" s="98" t="s">
        <v>25</v>
      </c>
      <c r="B257" s="98" t="s">
        <v>26</v>
      </c>
      <c r="C257" s="98" t="s">
        <v>9</v>
      </c>
      <c r="D257" s="96" t="s">
        <v>322</v>
      </c>
      <c r="E257" s="96" t="s">
        <v>415</v>
      </c>
      <c r="F257" s="96" t="s">
        <v>37</v>
      </c>
      <c r="G257" s="94">
        <v>225000</v>
      </c>
      <c r="H257" s="99">
        <v>45924</v>
      </c>
      <c r="I257" s="19" t="str">
        <f>IF(N257&gt;1,"group","individual")</f>
        <v>group</v>
      </c>
      <c r="J257" s="97">
        <v>1</v>
      </c>
      <c r="K257" s="97">
        <v>2</v>
      </c>
      <c r="L257" s="98"/>
      <c r="M257" s="98"/>
      <c r="N257" s="19">
        <f>SUM(J257:K257)</f>
        <v>3</v>
      </c>
      <c r="O257" s="19">
        <f>SUM(L257:M257)</f>
        <v>0</v>
      </c>
      <c r="P257" s="22" t="s">
        <v>416</v>
      </c>
      <c r="Q257" s="100" t="s">
        <v>336</v>
      </c>
    </row>
    <row r="258" spans="1:17" ht="15.75" customHeight="1">
      <c r="A258" s="98" t="s">
        <v>25</v>
      </c>
      <c r="B258" s="98" t="s">
        <v>26</v>
      </c>
      <c r="C258" s="98" t="s">
        <v>9</v>
      </c>
      <c r="D258" s="96" t="s">
        <v>322</v>
      </c>
      <c r="E258" s="96" t="s">
        <v>417</v>
      </c>
      <c r="F258" s="96" t="s">
        <v>186</v>
      </c>
      <c r="G258" s="94">
        <v>150000</v>
      </c>
      <c r="H258" s="99">
        <v>45924</v>
      </c>
      <c r="I258" s="19" t="str">
        <f>IF(N258&gt;1,"group","individual")</f>
        <v>group</v>
      </c>
      <c r="J258" s="96"/>
      <c r="K258" s="97">
        <v>2</v>
      </c>
      <c r="L258" s="98"/>
      <c r="M258" s="98"/>
      <c r="N258" s="19">
        <f>SUM(J258:K258)</f>
        <v>2</v>
      </c>
      <c r="O258" s="19">
        <f>SUM(L258:M258)</f>
        <v>0</v>
      </c>
      <c r="P258" s="40" t="s">
        <v>30</v>
      </c>
      <c r="Q258" s="190" t="s">
        <v>418</v>
      </c>
    </row>
    <row r="259" spans="1:17" ht="15.75" customHeight="1">
      <c r="A259" s="13" t="s">
        <v>25</v>
      </c>
      <c r="B259" s="13" t="s">
        <v>26</v>
      </c>
      <c r="C259" s="13" t="s">
        <v>9</v>
      </c>
      <c r="D259" s="15" t="s">
        <v>419</v>
      </c>
      <c r="E259" s="15" t="s">
        <v>420</v>
      </c>
      <c r="F259" s="15" t="s">
        <v>421</v>
      </c>
      <c r="G259" s="17">
        <v>225000</v>
      </c>
      <c r="H259" s="18">
        <v>45768</v>
      </c>
      <c r="I259" s="19" t="str">
        <f>IF(N259&gt;1,"group","individual")</f>
        <v>group</v>
      </c>
      <c r="J259" s="69">
        <v>4</v>
      </c>
      <c r="K259" s="69">
        <v>1</v>
      </c>
      <c r="L259" s="21"/>
      <c r="M259" s="21"/>
      <c r="N259" s="19">
        <f>SUM(J259:K259)</f>
        <v>5</v>
      </c>
      <c r="O259" s="19">
        <f>SUM(L259:M259)</f>
        <v>0</v>
      </c>
      <c r="P259" s="22" t="s">
        <v>183</v>
      </c>
      <c r="Q259" s="190"/>
    </row>
    <row r="260" spans="1:17" ht="15.75" customHeight="1">
      <c r="A260" s="13" t="s">
        <v>25</v>
      </c>
      <c r="B260" s="13" t="s">
        <v>26</v>
      </c>
      <c r="C260" s="13" t="s">
        <v>9</v>
      </c>
      <c r="D260" s="15" t="s">
        <v>419</v>
      </c>
      <c r="E260" s="15" t="s">
        <v>422</v>
      </c>
      <c r="F260" s="15" t="s">
        <v>327</v>
      </c>
      <c r="G260" s="17">
        <v>225000</v>
      </c>
      <c r="H260" s="18">
        <v>45768</v>
      </c>
      <c r="I260" s="19" t="str">
        <f>IF(N260&gt;1,"group","individual")</f>
        <v>group</v>
      </c>
      <c r="J260" s="69">
        <v>4</v>
      </c>
      <c r="K260" s="69">
        <v>1</v>
      </c>
      <c r="L260" s="21"/>
      <c r="M260" s="21"/>
      <c r="N260" s="19">
        <f>SUM(J260:K260)</f>
        <v>5</v>
      </c>
      <c r="O260" s="19">
        <f>SUM(L260:M260)</f>
        <v>0</v>
      </c>
      <c r="P260" s="59" t="s">
        <v>30</v>
      </c>
      <c r="Q260" s="23" t="s">
        <v>138</v>
      </c>
    </row>
    <row r="261" spans="1:17" ht="15.75" customHeight="1">
      <c r="A261" s="13" t="s">
        <v>25</v>
      </c>
      <c r="B261" s="13" t="s">
        <v>26</v>
      </c>
      <c r="C261" s="13" t="s">
        <v>9</v>
      </c>
      <c r="D261" s="15" t="s">
        <v>419</v>
      </c>
      <c r="E261" s="15" t="s">
        <v>423</v>
      </c>
      <c r="F261" s="15" t="s">
        <v>169</v>
      </c>
      <c r="G261" s="17">
        <v>225000</v>
      </c>
      <c r="H261" s="18">
        <v>45771</v>
      </c>
      <c r="I261" s="19" t="str">
        <f>IF(N261&gt;1,"group","individual")</f>
        <v>group</v>
      </c>
      <c r="J261" s="70"/>
      <c r="K261" s="69">
        <v>5</v>
      </c>
      <c r="L261" s="21"/>
      <c r="M261" s="21"/>
      <c r="N261" s="19">
        <f>SUM(J261:K261)</f>
        <v>5</v>
      </c>
      <c r="O261" s="19">
        <f>SUM(L261:M261)</f>
        <v>0</v>
      </c>
      <c r="P261" s="59" t="s">
        <v>30</v>
      </c>
      <c r="Q261" s="23" t="s">
        <v>424</v>
      </c>
    </row>
    <row r="262" spans="1:17" ht="15.75" customHeight="1">
      <c r="A262" s="13" t="s">
        <v>25</v>
      </c>
      <c r="B262" s="13" t="s">
        <v>26</v>
      </c>
      <c r="C262" s="13" t="s">
        <v>9</v>
      </c>
      <c r="D262" s="15" t="s">
        <v>419</v>
      </c>
      <c r="E262" s="15" t="s">
        <v>425</v>
      </c>
      <c r="F262" s="15" t="s">
        <v>327</v>
      </c>
      <c r="G262" s="17">
        <v>225000</v>
      </c>
      <c r="H262" s="25">
        <v>45803</v>
      </c>
      <c r="I262" s="19" t="str">
        <f>IF(N262&gt;1,"group","individual")</f>
        <v>group</v>
      </c>
      <c r="J262" s="69">
        <v>3</v>
      </c>
      <c r="K262" s="69">
        <v>1</v>
      </c>
      <c r="L262" s="21"/>
      <c r="M262" s="21"/>
      <c r="N262" s="19">
        <f>SUM(J262:K262)</f>
        <v>4</v>
      </c>
      <c r="O262" s="19">
        <f>SUM(L262:M262)</f>
        <v>0</v>
      </c>
      <c r="P262" s="22" t="s">
        <v>183</v>
      </c>
      <c r="Q262" s="23" t="s">
        <v>98</v>
      </c>
    </row>
    <row r="263" spans="1:17" ht="15.75" customHeight="1">
      <c r="A263" s="13" t="s">
        <v>25</v>
      </c>
      <c r="B263" s="13" t="s">
        <v>26</v>
      </c>
      <c r="C263" s="13" t="s">
        <v>9</v>
      </c>
      <c r="D263" s="15" t="s">
        <v>419</v>
      </c>
      <c r="E263" s="70" t="s">
        <v>426</v>
      </c>
      <c r="F263" s="15" t="s">
        <v>427</v>
      </c>
      <c r="G263" s="17">
        <v>150000</v>
      </c>
      <c r="H263" s="54">
        <v>45812</v>
      </c>
      <c r="I263" s="19" t="str">
        <f>IF(N263&gt;1,"group","individual")</f>
        <v>group</v>
      </c>
      <c r="J263" s="69">
        <v>1</v>
      </c>
      <c r="K263" s="69">
        <v>1</v>
      </c>
      <c r="L263" s="21"/>
      <c r="M263" s="21"/>
      <c r="N263" s="19">
        <f>SUM(J263:K263)</f>
        <v>2</v>
      </c>
      <c r="O263" s="19">
        <f>SUM(L263:M263)</f>
        <v>0</v>
      </c>
      <c r="P263" s="22" t="s">
        <v>183</v>
      </c>
      <c r="Q263" s="23" t="s">
        <v>112</v>
      </c>
    </row>
    <row r="264" spans="1:17" ht="15.75" customHeight="1">
      <c r="A264" s="13" t="s">
        <v>25</v>
      </c>
      <c r="B264" s="13" t="s">
        <v>26</v>
      </c>
      <c r="C264" s="13" t="s">
        <v>9</v>
      </c>
      <c r="D264" s="15" t="s">
        <v>419</v>
      </c>
      <c r="E264" s="15" t="s">
        <v>428</v>
      </c>
      <c r="F264" s="15" t="s">
        <v>429</v>
      </c>
      <c r="G264" s="17">
        <v>75000</v>
      </c>
      <c r="H264" s="18">
        <v>45802</v>
      </c>
      <c r="I264" s="19" t="str">
        <f>IF(N264&gt;1,"group","individual")</f>
        <v>individual</v>
      </c>
      <c r="J264" s="69">
        <v>0</v>
      </c>
      <c r="K264" s="69">
        <v>1</v>
      </c>
      <c r="L264" s="21"/>
      <c r="M264" s="21"/>
      <c r="N264" s="19">
        <f>SUM(J264:K264)</f>
        <v>1</v>
      </c>
      <c r="O264" s="19">
        <f>SUM(L264:M264)</f>
        <v>0</v>
      </c>
      <c r="P264" s="22" t="s">
        <v>183</v>
      </c>
      <c r="Q264" s="23" t="s">
        <v>368</v>
      </c>
    </row>
    <row r="265" spans="1:17" ht="15.75" customHeight="1">
      <c r="A265" s="13" t="s">
        <v>25</v>
      </c>
      <c r="B265" s="13" t="s">
        <v>26</v>
      </c>
      <c r="C265" s="13" t="s">
        <v>9</v>
      </c>
      <c r="D265" s="15" t="s">
        <v>419</v>
      </c>
      <c r="E265" s="15" t="s">
        <v>430</v>
      </c>
      <c r="F265" s="15" t="s">
        <v>431</v>
      </c>
      <c r="G265" s="17">
        <v>75000</v>
      </c>
      <c r="H265" s="18">
        <v>45820</v>
      </c>
      <c r="I265" s="19" t="str">
        <f>IF(N265&gt;1,"group","individual")</f>
        <v>individual</v>
      </c>
      <c r="J265" s="69">
        <v>1</v>
      </c>
      <c r="K265" s="70"/>
      <c r="L265" s="21"/>
      <c r="M265" s="21"/>
      <c r="N265" s="19">
        <f>SUM(J265:K265)</f>
        <v>1</v>
      </c>
      <c r="O265" s="19">
        <f>SUM(L265:M265)</f>
        <v>0</v>
      </c>
      <c r="P265" s="59" t="s">
        <v>30</v>
      </c>
      <c r="Q265" s="23" t="s">
        <v>130</v>
      </c>
    </row>
    <row r="266" spans="1:17" ht="15.75" customHeight="1">
      <c r="A266" s="13" t="s">
        <v>25</v>
      </c>
      <c r="B266" s="13" t="s">
        <v>26</v>
      </c>
      <c r="C266" s="13" t="s">
        <v>9</v>
      </c>
      <c r="D266" s="15" t="s">
        <v>419</v>
      </c>
      <c r="E266" s="15" t="s">
        <v>432</v>
      </c>
      <c r="F266" s="15" t="s">
        <v>327</v>
      </c>
      <c r="G266" s="17">
        <v>225000</v>
      </c>
      <c r="H266" s="26">
        <v>45826</v>
      </c>
      <c r="I266" s="19" t="str">
        <f>IF(N266&gt;1,"group","individual")</f>
        <v>group</v>
      </c>
      <c r="J266" s="70"/>
      <c r="K266" s="69">
        <v>3</v>
      </c>
      <c r="L266" s="21"/>
      <c r="M266" s="21"/>
      <c r="N266" s="19">
        <f>SUM(J266:K266)</f>
        <v>3</v>
      </c>
      <c r="O266" s="19">
        <f>SUM(L266:M266)</f>
        <v>0</v>
      </c>
      <c r="P266" s="22" t="s">
        <v>183</v>
      </c>
      <c r="Q266" s="23" t="s">
        <v>333</v>
      </c>
    </row>
    <row r="267" spans="1:17" ht="15.75" customHeight="1">
      <c r="A267" s="13" t="s">
        <v>25</v>
      </c>
      <c r="B267" s="13" t="s">
        <v>26</v>
      </c>
      <c r="C267" s="13" t="s">
        <v>9</v>
      </c>
      <c r="D267" s="15" t="s">
        <v>419</v>
      </c>
      <c r="E267" s="15" t="s">
        <v>433</v>
      </c>
      <c r="F267" s="15" t="s">
        <v>76</v>
      </c>
      <c r="G267" s="17">
        <v>75000</v>
      </c>
      <c r="H267" s="26">
        <v>45826</v>
      </c>
      <c r="I267" s="19" t="str">
        <f>IF(N267&gt;1,"group","individual")</f>
        <v>individual</v>
      </c>
      <c r="J267" s="70"/>
      <c r="K267" s="69">
        <v>1</v>
      </c>
      <c r="L267" s="21"/>
      <c r="M267" s="21"/>
      <c r="N267" s="19">
        <f>SUM(J267:K267)</f>
        <v>1</v>
      </c>
      <c r="O267" s="19">
        <f>SUM(L267:M267)</f>
        <v>0</v>
      </c>
      <c r="P267" s="85" t="s">
        <v>30</v>
      </c>
      <c r="Q267" s="39" t="s">
        <v>112</v>
      </c>
    </row>
    <row r="268" spans="1:17" ht="15.75" customHeight="1">
      <c r="A268" s="13" t="s">
        <v>25</v>
      </c>
      <c r="B268" s="13" t="s">
        <v>26</v>
      </c>
      <c r="C268" s="13" t="s">
        <v>9</v>
      </c>
      <c r="D268" s="15" t="s">
        <v>419</v>
      </c>
      <c r="E268" s="15" t="s">
        <v>434</v>
      </c>
      <c r="F268" s="15" t="s">
        <v>120</v>
      </c>
      <c r="G268" s="17">
        <v>225000</v>
      </c>
      <c r="H268" s="26">
        <v>45826</v>
      </c>
      <c r="I268" s="19" t="str">
        <f>IF(N268&gt;1,"group","individual")</f>
        <v>individual</v>
      </c>
      <c r="J268" s="70"/>
      <c r="K268" s="69">
        <v>1</v>
      </c>
      <c r="L268" s="21"/>
      <c r="M268" s="21"/>
      <c r="N268" s="19">
        <f>SUM(J268:K268)</f>
        <v>1</v>
      </c>
      <c r="O268" s="19">
        <f>SUM(L268:M268)</f>
        <v>0</v>
      </c>
      <c r="P268" s="85" t="s">
        <v>30</v>
      </c>
      <c r="Q268" s="39" t="s">
        <v>112</v>
      </c>
    </row>
    <row r="269" spans="1:17" ht="15.75" customHeight="1">
      <c r="A269" s="13" t="s">
        <v>25</v>
      </c>
      <c r="B269" s="13" t="s">
        <v>26</v>
      </c>
      <c r="C269" s="13" t="s">
        <v>9</v>
      </c>
      <c r="D269" s="15" t="s">
        <v>419</v>
      </c>
      <c r="E269" s="15" t="s">
        <v>435</v>
      </c>
      <c r="F269" s="15" t="s">
        <v>37</v>
      </c>
      <c r="G269" s="17">
        <v>225000</v>
      </c>
      <c r="H269" s="26">
        <v>45826</v>
      </c>
      <c r="I269" s="19" t="str">
        <f>IF(N269&gt;1,"group","individual")</f>
        <v>individual</v>
      </c>
      <c r="J269" s="70"/>
      <c r="K269" s="69">
        <v>1</v>
      </c>
      <c r="L269" s="21"/>
      <c r="M269" s="21"/>
      <c r="N269" s="19">
        <f>SUM(J269:K269)</f>
        <v>1</v>
      </c>
      <c r="O269" s="19">
        <f>SUM(L269:M269)</f>
        <v>0</v>
      </c>
      <c r="P269" s="59" t="s">
        <v>30</v>
      </c>
      <c r="Q269" s="23" t="s">
        <v>313</v>
      </c>
    </row>
    <row r="270" spans="1:17" ht="15.75" customHeight="1">
      <c r="A270" s="13" t="s">
        <v>25</v>
      </c>
      <c r="B270" s="13" t="s">
        <v>26</v>
      </c>
      <c r="C270" s="13" t="s">
        <v>9</v>
      </c>
      <c r="D270" s="15" t="s">
        <v>419</v>
      </c>
      <c r="E270" s="15" t="s">
        <v>436</v>
      </c>
      <c r="F270" s="15" t="s">
        <v>429</v>
      </c>
      <c r="G270" s="17">
        <v>225000</v>
      </c>
      <c r="H270" s="26">
        <v>45826</v>
      </c>
      <c r="I270" s="19" t="str">
        <f>IF(N270&gt;1,"group","individual")</f>
        <v>individual</v>
      </c>
      <c r="J270" s="70"/>
      <c r="K270" s="69">
        <v>1</v>
      </c>
      <c r="L270" s="21"/>
      <c r="M270" s="21"/>
      <c r="N270" s="19">
        <f>SUM(J270:K270)</f>
        <v>1</v>
      </c>
      <c r="O270" s="19">
        <f>SUM(L270:M270)</f>
        <v>0</v>
      </c>
      <c r="P270" s="22" t="s">
        <v>183</v>
      </c>
      <c r="Q270" s="23" t="s">
        <v>112</v>
      </c>
    </row>
    <row r="271" spans="1:17" ht="15.75" customHeight="1">
      <c r="A271" s="13" t="s">
        <v>25</v>
      </c>
      <c r="B271" s="13" t="s">
        <v>26</v>
      </c>
      <c r="C271" s="13" t="s">
        <v>9</v>
      </c>
      <c r="D271" s="15" t="s">
        <v>419</v>
      </c>
      <c r="E271" s="15" t="s">
        <v>437</v>
      </c>
      <c r="F271" s="15" t="s">
        <v>76</v>
      </c>
      <c r="G271" s="17">
        <v>200000</v>
      </c>
      <c r="H271" s="26">
        <v>45826</v>
      </c>
      <c r="I271" s="19" t="str">
        <f>IF(N271&gt;1,"group","individual")</f>
        <v>individual</v>
      </c>
      <c r="J271" s="70"/>
      <c r="K271" s="69">
        <v>1</v>
      </c>
      <c r="L271" s="21"/>
      <c r="M271" s="21"/>
      <c r="N271" s="19">
        <f>SUM(J271:K271)</f>
        <v>1</v>
      </c>
      <c r="O271" s="19">
        <f>SUM(L271:M271)</f>
        <v>0</v>
      </c>
      <c r="P271" s="59" t="s">
        <v>30</v>
      </c>
      <c r="Q271" s="23" t="s">
        <v>438</v>
      </c>
    </row>
    <row r="272" spans="1:17" ht="15.75" customHeight="1">
      <c r="A272" s="13" t="s">
        <v>25</v>
      </c>
      <c r="B272" s="13" t="s">
        <v>26</v>
      </c>
      <c r="C272" s="13" t="s">
        <v>9</v>
      </c>
      <c r="D272" s="15" t="s">
        <v>419</v>
      </c>
      <c r="E272" s="15" t="s">
        <v>439</v>
      </c>
      <c r="F272" s="15" t="s">
        <v>169</v>
      </c>
      <c r="G272" s="17">
        <v>225000</v>
      </c>
      <c r="H272" s="150" t="s">
        <v>49</v>
      </c>
      <c r="I272" s="19" t="str">
        <f>IF(N272&gt;1,"group","individual")</f>
        <v>group</v>
      </c>
      <c r="J272" s="70"/>
      <c r="K272" s="69">
        <v>4</v>
      </c>
      <c r="L272" s="21"/>
      <c r="M272" s="21"/>
      <c r="N272" s="19">
        <f>SUM(J272:K272)</f>
        <v>4</v>
      </c>
      <c r="O272" s="19">
        <f>SUM(L272:M272)</f>
        <v>0</v>
      </c>
      <c r="P272" s="59" t="s">
        <v>30</v>
      </c>
      <c r="Q272" s="23" t="s">
        <v>112</v>
      </c>
    </row>
    <row r="273" spans="1:17" ht="15.75" customHeight="1">
      <c r="A273" s="13" t="s">
        <v>25</v>
      </c>
      <c r="B273" s="13" t="s">
        <v>26</v>
      </c>
      <c r="C273" s="13" t="s">
        <v>9</v>
      </c>
      <c r="D273" s="15" t="s">
        <v>419</v>
      </c>
      <c r="E273" s="15" t="s">
        <v>440</v>
      </c>
      <c r="F273" s="15" t="s">
        <v>441</v>
      </c>
      <c r="G273" s="17">
        <v>225000</v>
      </c>
      <c r="H273" s="150" t="s">
        <v>49</v>
      </c>
      <c r="I273" s="19" t="str">
        <f>IF(N273&gt;1,"group","individual")</f>
        <v>group</v>
      </c>
      <c r="J273" s="69">
        <v>5</v>
      </c>
      <c r="K273" s="70"/>
      <c r="L273" s="21"/>
      <c r="M273" s="21"/>
      <c r="N273" s="19">
        <f>SUM(J273:K273)</f>
        <v>5</v>
      </c>
      <c r="O273" s="19">
        <f>SUM(L273:M273)</f>
        <v>0</v>
      </c>
      <c r="P273" s="59" t="s">
        <v>30</v>
      </c>
      <c r="Q273" s="23" t="s">
        <v>442</v>
      </c>
    </row>
    <row r="274" spans="1:17" ht="15.75" customHeight="1">
      <c r="A274" s="13" t="s">
        <v>25</v>
      </c>
      <c r="B274" s="13" t="s">
        <v>26</v>
      </c>
      <c r="C274" s="13" t="s">
        <v>9</v>
      </c>
      <c r="D274" s="15" t="s">
        <v>419</v>
      </c>
      <c r="E274" s="15" t="s">
        <v>443</v>
      </c>
      <c r="F274" s="15" t="s">
        <v>169</v>
      </c>
      <c r="G274" s="17">
        <v>225000</v>
      </c>
      <c r="H274" s="29">
        <v>45838</v>
      </c>
      <c r="I274" s="19" t="str">
        <f>IF(N274&gt;1,"group","individual")</f>
        <v>group</v>
      </c>
      <c r="J274" s="70"/>
      <c r="K274" s="69">
        <v>4</v>
      </c>
      <c r="L274" s="21"/>
      <c r="M274" s="21"/>
      <c r="N274" s="19">
        <f>SUM(J274:K274)</f>
        <v>4</v>
      </c>
      <c r="O274" s="19">
        <f>SUM(L274:M274)</f>
        <v>0</v>
      </c>
      <c r="P274" s="59" t="s">
        <v>30</v>
      </c>
      <c r="Q274" s="23" t="s">
        <v>47</v>
      </c>
    </row>
    <row r="275" spans="1:17" ht="15.75" customHeight="1">
      <c r="A275" s="13" t="s">
        <v>25</v>
      </c>
      <c r="B275" s="13" t="s">
        <v>26</v>
      </c>
      <c r="C275" s="13" t="s">
        <v>9</v>
      </c>
      <c r="D275" s="15" t="s">
        <v>419</v>
      </c>
      <c r="E275" s="118" t="s">
        <v>444</v>
      </c>
      <c r="F275" s="118" t="s">
        <v>29</v>
      </c>
      <c r="G275" s="17">
        <v>225000</v>
      </c>
      <c r="H275" s="29">
        <v>45838</v>
      </c>
      <c r="I275" s="19" t="str">
        <f>IF(N275&gt;1,"group","individual")</f>
        <v>individual</v>
      </c>
      <c r="J275" s="27">
        <v>1</v>
      </c>
      <c r="K275" s="118"/>
      <c r="L275" s="21"/>
      <c r="M275" s="21"/>
      <c r="N275" s="19">
        <f>SUM(J275:K275)</f>
        <v>1</v>
      </c>
      <c r="O275" s="19">
        <f>SUM(L275:M275)</f>
        <v>0</v>
      </c>
      <c r="P275" s="59" t="s">
        <v>30</v>
      </c>
      <c r="Q275" s="23" t="s">
        <v>445</v>
      </c>
    </row>
    <row r="276" spans="1:17" ht="15.75" customHeight="1">
      <c r="A276" s="13" t="s">
        <v>25</v>
      </c>
      <c r="B276" s="13" t="s">
        <v>26</v>
      </c>
      <c r="C276" s="13" t="s">
        <v>9</v>
      </c>
      <c r="D276" s="15" t="s">
        <v>419</v>
      </c>
      <c r="E276" s="15" t="s">
        <v>446</v>
      </c>
      <c r="F276" s="15" t="s">
        <v>447</v>
      </c>
      <c r="G276" s="17">
        <v>225000</v>
      </c>
      <c r="H276" s="18">
        <v>45833</v>
      </c>
      <c r="I276" s="19" t="str">
        <f>IF(N276&gt;1,"group","individual")</f>
        <v>group</v>
      </c>
      <c r="J276" s="27">
        <v>4</v>
      </c>
      <c r="K276" s="27">
        <v>1</v>
      </c>
      <c r="L276" s="21"/>
      <c r="M276" s="21"/>
      <c r="N276" s="19">
        <f>SUM(J276:K276)</f>
        <v>5</v>
      </c>
      <c r="O276" s="19">
        <f>SUM(L276:M276)</f>
        <v>0</v>
      </c>
      <c r="P276" s="59" t="s">
        <v>30</v>
      </c>
      <c r="Q276" s="23" t="s">
        <v>448</v>
      </c>
    </row>
    <row r="277" spans="1:17" ht="15.75" customHeight="1">
      <c r="A277" s="13" t="s">
        <v>25</v>
      </c>
      <c r="B277" s="13" t="s">
        <v>26</v>
      </c>
      <c r="C277" s="13" t="s">
        <v>9</v>
      </c>
      <c r="D277" s="15" t="s">
        <v>419</v>
      </c>
      <c r="E277" s="15" t="s">
        <v>449</v>
      </c>
      <c r="F277" s="70" t="s">
        <v>327</v>
      </c>
      <c r="G277" s="17">
        <v>225000</v>
      </c>
      <c r="H277" s="150" t="s">
        <v>146</v>
      </c>
      <c r="I277" s="19" t="str">
        <f>IF(N277&gt;1,"group","individual")</f>
        <v>group</v>
      </c>
      <c r="J277" s="118"/>
      <c r="K277" s="27">
        <v>3</v>
      </c>
      <c r="L277" s="21"/>
      <c r="M277" s="21"/>
      <c r="N277" s="19">
        <f>SUM(J277:K277)</f>
        <v>3</v>
      </c>
      <c r="O277" s="19">
        <f>SUM(L277:M277)</f>
        <v>0</v>
      </c>
      <c r="P277" s="59" t="s">
        <v>30</v>
      </c>
      <c r="Q277" s="23" t="s">
        <v>448</v>
      </c>
    </row>
    <row r="278" spans="1:17" ht="15.75" customHeight="1">
      <c r="A278" s="13" t="s">
        <v>25</v>
      </c>
      <c r="B278" s="13" t="s">
        <v>26</v>
      </c>
      <c r="C278" s="13" t="s">
        <v>9</v>
      </c>
      <c r="D278" s="15" t="s">
        <v>419</v>
      </c>
      <c r="E278" s="15" t="s">
        <v>450</v>
      </c>
      <c r="F278" s="15" t="s">
        <v>76</v>
      </c>
      <c r="G278" s="17">
        <v>225000</v>
      </c>
      <c r="H278" s="150" t="s">
        <v>146</v>
      </c>
      <c r="I278" s="19" t="str">
        <f>IF(N278&gt;1,"group","individual")</f>
        <v>individual</v>
      </c>
      <c r="J278" s="118"/>
      <c r="K278" s="27">
        <v>1</v>
      </c>
      <c r="L278" s="21"/>
      <c r="M278" s="21"/>
      <c r="N278" s="19">
        <f>SUM(J278:K278)</f>
        <v>1</v>
      </c>
      <c r="O278" s="19">
        <f>SUM(L278:M278)</f>
        <v>0</v>
      </c>
      <c r="P278" s="59" t="s">
        <v>30</v>
      </c>
      <c r="Q278" s="23" t="s">
        <v>448</v>
      </c>
    </row>
    <row r="279" spans="1:17" ht="15.75" customHeight="1">
      <c r="A279" s="13" t="s">
        <v>25</v>
      </c>
      <c r="B279" s="13" t="s">
        <v>26</v>
      </c>
      <c r="C279" s="13" t="s">
        <v>9</v>
      </c>
      <c r="D279" s="15" t="s">
        <v>419</v>
      </c>
      <c r="E279" s="15" t="s">
        <v>451</v>
      </c>
      <c r="F279" s="15" t="s">
        <v>393</v>
      </c>
      <c r="G279" s="17">
        <v>150000</v>
      </c>
      <c r="H279" s="18">
        <v>45919</v>
      </c>
      <c r="I279" s="19" t="str">
        <f>IF(N279&gt;1,"group","individual")</f>
        <v>group</v>
      </c>
      <c r="J279" s="27">
        <v>1</v>
      </c>
      <c r="K279" s="27">
        <v>1</v>
      </c>
      <c r="L279" s="21"/>
      <c r="M279" s="21"/>
      <c r="N279" s="19">
        <f>SUM(J279:K279)</f>
        <v>2</v>
      </c>
      <c r="O279" s="19">
        <f>SUM(L279:M279)</f>
        <v>0</v>
      </c>
      <c r="P279" s="22" t="s">
        <v>183</v>
      </c>
      <c r="Q279" s="23" t="s">
        <v>452</v>
      </c>
    </row>
    <row r="280" spans="1:17" ht="15.75" customHeight="1">
      <c r="A280" s="13" t="s">
        <v>25</v>
      </c>
      <c r="B280" s="13" t="s">
        <v>26</v>
      </c>
      <c r="C280" s="13" t="s">
        <v>9</v>
      </c>
      <c r="D280" s="15" t="s">
        <v>419</v>
      </c>
      <c r="E280" s="15" t="s">
        <v>453</v>
      </c>
      <c r="F280" s="15" t="s">
        <v>186</v>
      </c>
      <c r="G280" s="17">
        <v>225000</v>
      </c>
      <c r="H280" s="18">
        <v>45919</v>
      </c>
      <c r="I280" s="19" t="str">
        <f>IF(N280&gt;1,"group","individual")</f>
        <v>group</v>
      </c>
      <c r="J280" s="118"/>
      <c r="K280" s="27">
        <v>3</v>
      </c>
      <c r="L280" s="21"/>
      <c r="M280" s="21"/>
      <c r="N280" s="19">
        <f>SUM(J280:K280)</f>
        <v>3</v>
      </c>
      <c r="O280" s="19">
        <f>SUM(L280:M280)</f>
        <v>0</v>
      </c>
      <c r="P280" s="59" t="s">
        <v>30</v>
      </c>
      <c r="Q280" s="23" t="s">
        <v>454</v>
      </c>
    </row>
    <row r="281" spans="1:17" ht="15.75" customHeight="1">
      <c r="A281" s="118" t="s">
        <v>25</v>
      </c>
      <c r="B281" s="118" t="s">
        <v>26</v>
      </c>
      <c r="C281" s="118" t="s">
        <v>9</v>
      </c>
      <c r="D281" s="70" t="s">
        <v>419</v>
      </c>
      <c r="E281" s="70" t="s">
        <v>455</v>
      </c>
      <c r="F281" s="70" t="s">
        <v>37</v>
      </c>
      <c r="G281" s="17">
        <v>150000</v>
      </c>
      <c r="H281" s="18">
        <v>45919</v>
      </c>
      <c r="I281" s="19" t="str">
        <f>IF(N281&gt;1,"group","individual")</f>
        <v>group</v>
      </c>
      <c r="J281" s="118"/>
      <c r="K281" s="27">
        <v>2</v>
      </c>
      <c r="L281" s="118"/>
      <c r="M281" s="118"/>
      <c r="N281" s="19">
        <f>SUM(J281:K281)</f>
        <v>2</v>
      </c>
      <c r="O281" s="19">
        <f>SUM(L281:M281)</f>
        <v>0</v>
      </c>
      <c r="P281" s="22" t="s">
        <v>183</v>
      </c>
      <c r="Q281" s="23" t="s">
        <v>368</v>
      </c>
    </row>
    <row r="282" spans="1:17" ht="15.75" customHeight="1">
      <c r="A282" s="118" t="s">
        <v>25</v>
      </c>
      <c r="B282" s="118" t="s">
        <v>26</v>
      </c>
      <c r="C282" s="118" t="s">
        <v>9</v>
      </c>
      <c r="D282" s="70" t="s">
        <v>12</v>
      </c>
      <c r="E282" s="70" t="s">
        <v>456</v>
      </c>
      <c r="F282" s="70" t="s">
        <v>457</v>
      </c>
      <c r="G282" s="17">
        <v>225000</v>
      </c>
      <c r="H282" s="150" t="s">
        <v>458</v>
      </c>
      <c r="I282" s="19" t="str">
        <f>IF(N282&gt;1,"group","individual")</f>
        <v>group</v>
      </c>
      <c r="J282" s="69">
        <v>3</v>
      </c>
      <c r="K282" s="69">
        <v>2</v>
      </c>
      <c r="L282" s="118"/>
      <c r="M282" s="118"/>
      <c r="N282" s="19">
        <f>SUM(J282:K282)</f>
        <v>5</v>
      </c>
      <c r="O282" s="19">
        <f>SUM(L282:M282)</f>
        <v>0</v>
      </c>
      <c r="P282" s="59" t="s">
        <v>30</v>
      </c>
      <c r="Q282" s="23" t="s">
        <v>459</v>
      </c>
    </row>
    <row r="283" spans="1:17" ht="15.75" customHeight="1">
      <c r="A283" s="118" t="s">
        <v>25</v>
      </c>
      <c r="B283" s="118" t="s">
        <v>26</v>
      </c>
      <c r="C283" s="118" t="s">
        <v>9</v>
      </c>
      <c r="D283" s="70" t="s">
        <v>12</v>
      </c>
      <c r="E283" s="70" t="s">
        <v>460</v>
      </c>
      <c r="F283" s="70" t="s">
        <v>294</v>
      </c>
      <c r="G283" s="17">
        <v>225000</v>
      </c>
      <c r="H283" s="66">
        <v>45786</v>
      </c>
      <c r="I283" s="19" t="str">
        <f>IF(N283&gt;1,"group","individual")</f>
        <v>group</v>
      </c>
      <c r="J283" s="70"/>
      <c r="K283" s="69">
        <v>5</v>
      </c>
      <c r="L283" s="118"/>
      <c r="M283" s="118"/>
      <c r="N283" s="19">
        <f>SUM(J283:K283)</f>
        <v>5</v>
      </c>
      <c r="O283" s="19">
        <f>SUM(L283:M283)</f>
        <v>0</v>
      </c>
      <c r="P283" s="59" t="s">
        <v>30</v>
      </c>
      <c r="Q283" s="23" t="s">
        <v>459</v>
      </c>
    </row>
    <row r="284" spans="1:17" ht="15.75" customHeight="1">
      <c r="A284" s="118" t="s">
        <v>25</v>
      </c>
      <c r="B284" s="118" t="s">
        <v>26</v>
      </c>
      <c r="C284" s="118" t="s">
        <v>9</v>
      </c>
      <c r="D284" s="70" t="s">
        <v>12</v>
      </c>
      <c r="E284" s="70" t="s">
        <v>461</v>
      </c>
      <c r="F284" s="70" t="s">
        <v>186</v>
      </c>
      <c r="G284" s="17">
        <v>225000</v>
      </c>
      <c r="H284" s="150" t="s">
        <v>462</v>
      </c>
      <c r="I284" s="19" t="str">
        <f>IF(N284&gt;1,"group","individual")</f>
        <v>group</v>
      </c>
      <c r="J284" s="69">
        <v>2</v>
      </c>
      <c r="K284" s="69">
        <v>3</v>
      </c>
      <c r="L284" s="118"/>
      <c r="M284" s="118"/>
      <c r="N284" s="19">
        <f>SUM(J284:K284)</f>
        <v>5</v>
      </c>
      <c r="O284" s="19">
        <f>SUM(L284:M284)</f>
        <v>0</v>
      </c>
      <c r="P284" s="59" t="s">
        <v>30</v>
      </c>
      <c r="Q284" s="23" t="s">
        <v>459</v>
      </c>
    </row>
    <row r="285" spans="1:17" ht="15.75" customHeight="1">
      <c r="A285" s="118" t="s">
        <v>25</v>
      </c>
      <c r="B285" s="118" t="s">
        <v>26</v>
      </c>
      <c r="C285" s="118" t="s">
        <v>9</v>
      </c>
      <c r="D285" s="70" t="s">
        <v>12</v>
      </c>
      <c r="E285" s="70" t="s">
        <v>463</v>
      </c>
      <c r="F285" s="70" t="s">
        <v>464</v>
      </c>
      <c r="G285" s="17">
        <v>225000</v>
      </c>
      <c r="H285" s="66">
        <v>45791</v>
      </c>
      <c r="I285" s="19" t="str">
        <f>IF(N285&gt;1,"group","individual")</f>
        <v>group</v>
      </c>
      <c r="J285" s="69">
        <v>3</v>
      </c>
      <c r="K285" s="69">
        <v>2</v>
      </c>
      <c r="L285" s="118"/>
      <c r="M285" s="118"/>
      <c r="N285" s="19">
        <f>SUM(J285:K285)</f>
        <v>5</v>
      </c>
      <c r="O285" s="19">
        <f>SUM(L285:M285)</f>
        <v>0</v>
      </c>
      <c r="P285" s="59" t="s">
        <v>30</v>
      </c>
      <c r="Q285" s="23" t="s">
        <v>465</v>
      </c>
    </row>
    <row r="286" spans="1:17" ht="15.75" customHeight="1">
      <c r="A286" s="118" t="s">
        <v>25</v>
      </c>
      <c r="B286" s="118" t="s">
        <v>26</v>
      </c>
      <c r="C286" s="118" t="s">
        <v>9</v>
      </c>
      <c r="D286" s="70" t="s">
        <v>12</v>
      </c>
      <c r="E286" s="70" t="s">
        <v>466</v>
      </c>
      <c r="F286" s="70" t="s">
        <v>464</v>
      </c>
      <c r="G286" s="17">
        <v>225000</v>
      </c>
      <c r="H286" s="25">
        <v>45804</v>
      </c>
      <c r="I286" s="19" t="str">
        <f>IF(N286&gt;1,"group","individual")</f>
        <v>group</v>
      </c>
      <c r="J286" s="69">
        <v>2</v>
      </c>
      <c r="K286" s="69">
        <v>3</v>
      </c>
      <c r="L286" s="118"/>
      <c r="M286" s="118"/>
      <c r="N286" s="19">
        <f>SUM(J286:K286)</f>
        <v>5</v>
      </c>
      <c r="O286" s="19">
        <f>SUM(L286:M286)</f>
        <v>0</v>
      </c>
      <c r="P286" s="59" t="s">
        <v>30</v>
      </c>
      <c r="Q286" s="23" t="s">
        <v>465</v>
      </c>
    </row>
    <row r="287" spans="1:17" ht="15.75" customHeight="1">
      <c r="A287" s="13" t="s">
        <v>25</v>
      </c>
      <c r="B287" s="13" t="s">
        <v>26</v>
      </c>
      <c r="C287" s="13" t="s">
        <v>9</v>
      </c>
      <c r="D287" s="15" t="s">
        <v>12</v>
      </c>
      <c r="E287" s="70" t="s">
        <v>467</v>
      </c>
      <c r="F287" s="70" t="s">
        <v>141</v>
      </c>
      <c r="G287" s="17">
        <v>185000</v>
      </c>
      <c r="H287" s="18">
        <v>45820</v>
      </c>
      <c r="I287" s="19" t="str">
        <f>IF(N287&gt;1,"group","individual")</f>
        <v>group</v>
      </c>
      <c r="J287" s="70"/>
      <c r="K287" s="69">
        <v>4</v>
      </c>
      <c r="L287" s="21"/>
      <c r="M287" s="21"/>
      <c r="N287" s="19">
        <f>SUM(J287:K287)</f>
        <v>4</v>
      </c>
      <c r="O287" s="19">
        <f>SUM(L287:M287)</f>
        <v>0</v>
      </c>
      <c r="P287" s="59" t="s">
        <v>30</v>
      </c>
      <c r="Q287" s="23" t="s">
        <v>465</v>
      </c>
    </row>
    <row r="288" spans="1:17" ht="15.75" customHeight="1">
      <c r="A288" s="118" t="s">
        <v>25</v>
      </c>
      <c r="B288" s="118" t="s">
        <v>26</v>
      </c>
      <c r="C288" s="118" t="s">
        <v>9</v>
      </c>
      <c r="D288" s="70" t="s">
        <v>12</v>
      </c>
      <c r="E288" s="70" t="s">
        <v>468</v>
      </c>
      <c r="F288" s="70" t="s">
        <v>366</v>
      </c>
      <c r="G288" s="17">
        <v>225000</v>
      </c>
      <c r="H288" s="150" t="s">
        <v>49</v>
      </c>
      <c r="I288" s="19" t="str">
        <f>IF(N288&gt;1,"group","individual")</f>
        <v>group</v>
      </c>
      <c r="J288" s="70"/>
      <c r="K288" s="69">
        <v>5</v>
      </c>
      <c r="L288" s="118"/>
      <c r="M288" s="118"/>
      <c r="N288" s="19">
        <f>SUM(J288:K288)</f>
        <v>5</v>
      </c>
      <c r="O288" s="19">
        <f>SUM(L288:M288)</f>
        <v>0</v>
      </c>
      <c r="P288" s="59" t="s">
        <v>30</v>
      </c>
      <c r="Q288" s="23" t="s">
        <v>469</v>
      </c>
    </row>
    <row r="289" spans="1:17" ht="15.75" customHeight="1">
      <c r="A289" s="120" t="s">
        <v>25</v>
      </c>
      <c r="B289" s="120" t="s">
        <v>26</v>
      </c>
      <c r="C289" s="120" t="s">
        <v>9</v>
      </c>
      <c r="D289" s="87" t="s">
        <v>12</v>
      </c>
      <c r="E289" s="87" t="s">
        <v>470</v>
      </c>
      <c r="F289" s="87" t="s">
        <v>327</v>
      </c>
      <c r="G289" s="33">
        <v>75000</v>
      </c>
      <c r="H289" s="34" t="s">
        <v>401</v>
      </c>
      <c r="I289" s="19" t="str">
        <f>IF(N289&gt;1,"group","individual")</f>
        <v>individual</v>
      </c>
      <c r="J289" s="87"/>
      <c r="K289" s="88">
        <v>1</v>
      </c>
      <c r="L289" s="120"/>
      <c r="M289" s="120"/>
      <c r="N289" s="19">
        <f>SUM(J289:K289)</f>
        <v>1</v>
      </c>
      <c r="O289" s="19">
        <f>SUM(L289:M289)</f>
        <v>0</v>
      </c>
      <c r="P289" s="59" t="s">
        <v>30</v>
      </c>
      <c r="Q289" s="23" t="s">
        <v>471</v>
      </c>
    </row>
    <row r="290" spans="1:17" ht="15.75" customHeight="1">
      <c r="A290" s="120" t="s">
        <v>25</v>
      </c>
      <c r="B290" s="120" t="s">
        <v>26</v>
      </c>
      <c r="C290" s="120" t="s">
        <v>9</v>
      </c>
      <c r="D290" s="87" t="s">
        <v>12</v>
      </c>
      <c r="E290" s="87" t="s">
        <v>472</v>
      </c>
      <c r="F290" s="87" t="s">
        <v>37</v>
      </c>
      <c r="G290" s="33">
        <v>225000</v>
      </c>
      <c r="H290" s="34" t="s">
        <v>401</v>
      </c>
      <c r="I290" s="19" t="str">
        <f>IF(N290&gt;1,"group","individual")</f>
        <v>group</v>
      </c>
      <c r="J290" s="88">
        <v>2</v>
      </c>
      <c r="K290" s="88">
        <v>3</v>
      </c>
      <c r="L290" s="120"/>
      <c r="M290" s="120"/>
      <c r="N290" s="19">
        <f>SUM(J290:K290)</f>
        <v>5</v>
      </c>
      <c r="O290" s="19">
        <f>SUM(L290:M290)</f>
        <v>0</v>
      </c>
      <c r="P290" s="59" t="s">
        <v>30</v>
      </c>
      <c r="Q290" s="23" t="s">
        <v>473</v>
      </c>
    </row>
    <row r="291" spans="1:17" ht="15.75" customHeight="1">
      <c r="A291" s="13" t="s">
        <v>25</v>
      </c>
      <c r="B291" s="13" t="s">
        <v>26</v>
      </c>
      <c r="C291" s="13" t="s">
        <v>9</v>
      </c>
      <c r="D291" s="15" t="s">
        <v>474</v>
      </c>
      <c r="E291" s="15" t="s">
        <v>475</v>
      </c>
      <c r="F291" s="15" t="s">
        <v>327</v>
      </c>
      <c r="G291" s="17">
        <v>75000</v>
      </c>
      <c r="H291" s="66">
        <v>45790</v>
      </c>
      <c r="I291" s="19" t="str">
        <f>IF(N291&gt;1,"group","individual")</f>
        <v>individual</v>
      </c>
      <c r="J291" s="70"/>
      <c r="K291" s="69">
        <v>1</v>
      </c>
      <c r="L291" s="21"/>
      <c r="M291" s="21"/>
      <c r="N291" s="19">
        <f>SUM(J291:K291)</f>
        <v>1</v>
      </c>
      <c r="O291" s="19">
        <f>SUM(L291:M291)</f>
        <v>0</v>
      </c>
      <c r="P291" s="22" t="s">
        <v>183</v>
      </c>
      <c r="Q291" s="23" t="s">
        <v>476</v>
      </c>
    </row>
    <row r="292" spans="1:17" ht="15.75" customHeight="1">
      <c r="A292" s="13" t="s">
        <v>25</v>
      </c>
      <c r="B292" s="13" t="s">
        <v>26</v>
      </c>
      <c r="C292" s="13" t="s">
        <v>9</v>
      </c>
      <c r="D292" s="15" t="s">
        <v>474</v>
      </c>
      <c r="E292" s="15" t="s">
        <v>477</v>
      </c>
      <c r="F292" s="15" t="s">
        <v>457</v>
      </c>
      <c r="G292" s="17">
        <v>75000</v>
      </c>
      <c r="H292" s="66">
        <v>45791</v>
      </c>
      <c r="I292" s="19" t="str">
        <f>IF(N292&gt;1,"group","individual")</f>
        <v>individual</v>
      </c>
      <c r="J292" s="70"/>
      <c r="K292" s="69">
        <v>1</v>
      </c>
      <c r="L292" s="21"/>
      <c r="M292" s="21"/>
      <c r="N292" s="19">
        <f>SUM(J292:K292)</f>
        <v>1</v>
      </c>
      <c r="O292" s="19">
        <f>SUM(L292:M292)</f>
        <v>0</v>
      </c>
      <c r="P292" s="22" t="s">
        <v>183</v>
      </c>
      <c r="Q292" s="23" t="s">
        <v>476</v>
      </c>
    </row>
    <row r="293" spans="1:17" ht="15.75" customHeight="1">
      <c r="A293" s="13" t="s">
        <v>25</v>
      </c>
      <c r="B293" s="13" t="s">
        <v>26</v>
      </c>
      <c r="C293" s="13" t="s">
        <v>9</v>
      </c>
      <c r="D293" s="15" t="s">
        <v>474</v>
      </c>
      <c r="E293" s="70" t="s">
        <v>478</v>
      </c>
      <c r="F293" s="70" t="s">
        <v>421</v>
      </c>
      <c r="G293" s="17">
        <v>225000</v>
      </c>
      <c r="H293" s="66">
        <v>45790</v>
      </c>
      <c r="I293" s="19" t="str">
        <f>IF(N293&gt;1,"group","individual")</f>
        <v>individual</v>
      </c>
      <c r="J293" s="70"/>
      <c r="K293" s="69">
        <v>1</v>
      </c>
      <c r="L293" s="21"/>
      <c r="M293" s="21"/>
      <c r="N293" s="19">
        <f>SUM(J293:K293)</f>
        <v>1</v>
      </c>
      <c r="O293" s="19">
        <f>SUM(L293:M293)</f>
        <v>0</v>
      </c>
      <c r="P293" s="59" t="s">
        <v>30</v>
      </c>
      <c r="Q293" s="23" t="s">
        <v>473</v>
      </c>
    </row>
    <row r="294" spans="1:17" ht="15.75" customHeight="1">
      <c r="A294" s="13" t="s">
        <v>25</v>
      </c>
      <c r="B294" s="13" t="s">
        <v>26</v>
      </c>
      <c r="C294" s="13" t="s">
        <v>9</v>
      </c>
      <c r="D294" s="15" t="s">
        <v>474</v>
      </c>
      <c r="E294" s="15" t="s">
        <v>479</v>
      </c>
      <c r="F294" s="15" t="s">
        <v>480</v>
      </c>
      <c r="G294" s="17">
        <v>75000</v>
      </c>
      <c r="H294" s="66">
        <v>45791</v>
      </c>
      <c r="I294" s="19" t="str">
        <f>IF(N294&gt;1,"group","individual")</f>
        <v>individual</v>
      </c>
      <c r="J294" s="70"/>
      <c r="K294" s="69">
        <v>1</v>
      </c>
      <c r="L294" s="21"/>
      <c r="M294" s="21"/>
      <c r="N294" s="19">
        <f>SUM(J294:K294)</f>
        <v>1</v>
      </c>
      <c r="O294" s="19">
        <f>SUM(L294:M294)</f>
        <v>0</v>
      </c>
      <c r="P294" s="59" t="s">
        <v>30</v>
      </c>
      <c r="Q294" s="23" t="s">
        <v>130</v>
      </c>
    </row>
    <row r="295" spans="1:17" ht="15.75" customHeight="1">
      <c r="A295" s="13" t="s">
        <v>25</v>
      </c>
      <c r="B295" s="13" t="s">
        <v>26</v>
      </c>
      <c r="C295" s="13" t="s">
        <v>9</v>
      </c>
      <c r="D295" s="15" t="s">
        <v>474</v>
      </c>
      <c r="E295" s="15" t="s">
        <v>481</v>
      </c>
      <c r="F295" s="15" t="s">
        <v>294</v>
      </c>
      <c r="G295" s="17">
        <v>75000</v>
      </c>
      <c r="H295" s="66">
        <v>45790</v>
      </c>
      <c r="I295" s="19" t="str">
        <f>IF(N295&gt;1,"group","individual")</f>
        <v>individual</v>
      </c>
      <c r="J295" s="69">
        <v>1</v>
      </c>
      <c r="K295" s="70"/>
      <c r="L295" s="21"/>
      <c r="M295" s="21"/>
      <c r="N295" s="19">
        <f>SUM(J295:K295)</f>
        <v>1</v>
      </c>
      <c r="O295" s="19">
        <f>SUM(L295:M295)</f>
        <v>0</v>
      </c>
      <c r="P295" s="59" t="s">
        <v>30</v>
      </c>
      <c r="Q295" s="23" t="s">
        <v>482</v>
      </c>
    </row>
    <row r="296" spans="1:17" ht="15.75" customHeight="1">
      <c r="A296" s="44" t="s">
        <v>25</v>
      </c>
      <c r="B296" s="44" t="s">
        <v>26</v>
      </c>
      <c r="C296" s="44" t="s">
        <v>9</v>
      </c>
      <c r="D296" s="15" t="s">
        <v>474</v>
      </c>
      <c r="E296" s="15" t="s">
        <v>483</v>
      </c>
      <c r="F296" s="15" t="s">
        <v>294</v>
      </c>
      <c r="G296" s="17">
        <v>75000</v>
      </c>
      <c r="H296" s="18">
        <v>45792</v>
      </c>
      <c r="I296" s="19" t="str">
        <f>IF(N296&gt;1,"group","individual")</f>
        <v>individual</v>
      </c>
      <c r="J296" s="70"/>
      <c r="K296" s="69">
        <v>1</v>
      </c>
      <c r="L296" s="21"/>
      <c r="M296" s="21"/>
      <c r="N296" s="19">
        <f>SUM(J296:K296)</f>
        <v>1</v>
      </c>
      <c r="O296" s="19">
        <f>SUM(L296:M296)</f>
        <v>0</v>
      </c>
      <c r="P296" s="59" t="s">
        <v>30</v>
      </c>
      <c r="Q296" s="23" t="s">
        <v>482</v>
      </c>
    </row>
    <row r="297" spans="1:17" ht="15.75" customHeight="1">
      <c r="A297" s="44" t="s">
        <v>25</v>
      </c>
      <c r="B297" s="44" t="s">
        <v>26</v>
      </c>
      <c r="C297" s="44" t="s">
        <v>9</v>
      </c>
      <c r="D297" s="15" t="s">
        <v>474</v>
      </c>
      <c r="E297" s="15" t="s">
        <v>484</v>
      </c>
      <c r="F297" s="15" t="s">
        <v>485</v>
      </c>
      <c r="G297" s="17">
        <v>225000</v>
      </c>
      <c r="H297" s="66">
        <v>45793</v>
      </c>
      <c r="I297" s="19" t="str">
        <f>IF(N297&gt;1,"group","individual")</f>
        <v>individual</v>
      </c>
      <c r="J297" s="70"/>
      <c r="K297" s="69">
        <v>1</v>
      </c>
      <c r="L297" s="21"/>
      <c r="M297" s="21"/>
      <c r="N297" s="19">
        <f>SUM(J297:K297)</f>
        <v>1</v>
      </c>
      <c r="O297" s="19">
        <f>SUM(L297:M297)</f>
        <v>0</v>
      </c>
      <c r="P297" s="59" t="s">
        <v>30</v>
      </c>
      <c r="Q297" s="23" t="s">
        <v>64</v>
      </c>
    </row>
    <row r="298" spans="1:17" ht="15.75" customHeight="1">
      <c r="A298" s="13" t="s">
        <v>25</v>
      </c>
      <c r="B298" s="13" t="s">
        <v>26</v>
      </c>
      <c r="C298" s="13" t="s">
        <v>9</v>
      </c>
      <c r="D298" s="15" t="s">
        <v>474</v>
      </c>
      <c r="E298" s="15" t="s">
        <v>486</v>
      </c>
      <c r="F298" s="15" t="s">
        <v>487</v>
      </c>
      <c r="G298" s="17">
        <v>75000</v>
      </c>
      <c r="H298" s="66">
        <v>45793</v>
      </c>
      <c r="I298" s="19" t="str">
        <f>IF(N298&gt;1,"group","individual")</f>
        <v>individual</v>
      </c>
      <c r="J298" s="69">
        <v>1</v>
      </c>
      <c r="K298" s="70"/>
      <c r="L298" s="21"/>
      <c r="M298" s="21"/>
      <c r="N298" s="19">
        <f>SUM(J298:K298)</f>
        <v>1</v>
      </c>
      <c r="O298" s="19">
        <f>SUM(L298:M298)</f>
        <v>0</v>
      </c>
      <c r="P298" s="59" t="s">
        <v>30</v>
      </c>
      <c r="Q298" s="23" t="s">
        <v>488</v>
      </c>
    </row>
    <row r="299" spans="1:17" ht="15.75" customHeight="1">
      <c r="A299" s="13" t="s">
        <v>25</v>
      </c>
      <c r="B299" s="13" t="s">
        <v>26</v>
      </c>
      <c r="C299" s="13" t="s">
        <v>9</v>
      </c>
      <c r="D299" s="15" t="s">
        <v>474</v>
      </c>
      <c r="E299" s="15" t="s">
        <v>489</v>
      </c>
      <c r="F299" s="15" t="s">
        <v>294</v>
      </c>
      <c r="G299" s="17">
        <v>75000</v>
      </c>
      <c r="H299" s="66">
        <v>45793</v>
      </c>
      <c r="I299" s="19" t="str">
        <f>IF(N299&gt;1,"group","individual")</f>
        <v>individual</v>
      </c>
      <c r="J299" s="70"/>
      <c r="K299" s="69">
        <v>1</v>
      </c>
      <c r="L299" s="21"/>
      <c r="M299" s="21"/>
      <c r="N299" s="19">
        <f>SUM(J299:K299)</f>
        <v>1</v>
      </c>
      <c r="O299" s="19">
        <f>SUM(L299:M299)</f>
        <v>0</v>
      </c>
      <c r="P299" s="59" t="s">
        <v>30</v>
      </c>
      <c r="Q299" s="23" t="s">
        <v>64</v>
      </c>
    </row>
    <row r="300" spans="1:17" ht="15.75" customHeight="1">
      <c r="A300" s="13" t="s">
        <v>25</v>
      </c>
      <c r="B300" s="13" t="s">
        <v>26</v>
      </c>
      <c r="C300" s="13" t="s">
        <v>9</v>
      </c>
      <c r="D300" s="15" t="s">
        <v>474</v>
      </c>
      <c r="E300" s="15" t="s">
        <v>490</v>
      </c>
      <c r="F300" s="15" t="s">
        <v>234</v>
      </c>
      <c r="G300" s="17">
        <v>75000</v>
      </c>
      <c r="H300" s="18">
        <v>45793</v>
      </c>
      <c r="I300" s="19" t="str">
        <f>IF(N300&gt;1,"group","individual")</f>
        <v>individual</v>
      </c>
      <c r="J300" s="70"/>
      <c r="K300" s="69">
        <v>1</v>
      </c>
      <c r="L300" s="21"/>
      <c r="M300" s="21"/>
      <c r="N300" s="19">
        <f>SUM(J300:K300)</f>
        <v>1</v>
      </c>
      <c r="O300" s="19">
        <f>SUM(L300:M300)</f>
        <v>0</v>
      </c>
      <c r="P300" s="59" t="s">
        <v>30</v>
      </c>
      <c r="Q300" s="23" t="s">
        <v>64</v>
      </c>
    </row>
    <row r="301" spans="1:17" ht="15.75" customHeight="1">
      <c r="A301" s="13" t="s">
        <v>25</v>
      </c>
      <c r="B301" s="13" t="s">
        <v>26</v>
      </c>
      <c r="C301" s="13" t="s">
        <v>9</v>
      </c>
      <c r="D301" s="15" t="s">
        <v>474</v>
      </c>
      <c r="E301" s="15" t="s">
        <v>491</v>
      </c>
      <c r="F301" s="15" t="s">
        <v>457</v>
      </c>
      <c r="G301" s="17">
        <v>225000</v>
      </c>
      <c r="H301" s="18">
        <v>45794</v>
      </c>
      <c r="I301" s="19" t="str">
        <f>IF(N301&gt;1,"group","individual")</f>
        <v>group</v>
      </c>
      <c r="J301" s="69">
        <v>2</v>
      </c>
      <c r="K301" s="69">
        <v>3</v>
      </c>
      <c r="L301" s="21"/>
      <c r="M301" s="21"/>
      <c r="N301" s="19">
        <f>SUM(J301:K301)</f>
        <v>5</v>
      </c>
      <c r="O301" s="19">
        <f>SUM(L301:M301)</f>
        <v>0</v>
      </c>
      <c r="P301" s="59" t="s">
        <v>30</v>
      </c>
      <c r="Q301" s="23" t="s">
        <v>103</v>
      </c>
    </row>
    <row r="302" spans="1:17" ht="15.75" customHeight="1">
      <c r="A302" s="13" t="s">
        <v>25</v>
      </c>
      <c r="B302" s="13" t="s">
        <v>26</v>
      </c>
      <c r="C302" s="13" t="s">
        <v>9</v>
      </c>
      <c r="D302" s="15" t="s">
        <v>474</v>
      </c>
      <c r="E302" s="15" t="s">
        <v>492</v>
      </c>
      <c r="F302" s="15" t="s">
        <v>487</v>
      </c>
      <c r="G302" s="17">
        <v>75000</v>
      </c>
      <c r="H302" s="25">
        <v>45805</v>
      </c>
      <c r="I302" s="19" t="str">
        <f>IF(N302&gt;1,"group","individual")</f>
        <v>individual</v>
      </c>
      <c r="J302" s="69">
        <v>1</v>
      </c>
      <c r="K302" s="70"/>
      <c r="L302" s="21"/>
      <c r="M302" s="21"/>
      <c r="N302" s="19">
        <f>SUM(J302:K302)</f>
        <v>1</v>
      </c>
      <c r="O302" s="19">
        <f>SUM(L302:M302)</f>
        <v>0</v>
      </c>
      <c r="P302" s="59" t="s">
        <v>30</v>
      </c>
      <c r="Q302" s="23" t="s">
        <v>103</v>
      </c>
    </row>
    <row r="303" spans="1:17" ht="15.75" customHeight="1">
      <c r="A303" s="13" t="s">
        <v>25</v>
      </c>
      <c r="B303" s="13" t="s">
        <v>26</v>
      </c>
      <c r="C303" s="13" t="s">
        <v>9</v>
      </c>
      <c r="D303" s="15" t="s">
        <v>474</v>
      </c>
      <c r="E303" s="15" t="s">
        <v>493</v>
      </c>
      <c r="F303" s="15" t="s">
        <v>480</v>
      </c>
      <c r="G303" s="17">
        <v>225000</v>
      </c>
      <c r="H303" s="25">
        <v>45805</v>
      </c>
      <c r="I303" s="19" t="str">
        <f>IF(N303&gt;1,"group","individual")</f>
        <v>individual</v>
      </c>
      <c r="J303" s="69">
        <v>1</v>
      </c>
      <c r="K303" s="70"/>
      <c r="L303" s="21"/>
      <c r="M303" s="21"/>
      <c r="N303" s="19">
        <f>SUM(J303:K303)</f>
        <v>1</v>
      </c>
      <c r="O303" s="19">
        <f>SUM(L303:M303)</f>
        <v>0</v>
      </c>
      <c r="P303" s="85" t="s">
        <v>30</v>
      </c>
      <c r="Q303" s="39" t="s">
        <v>139</v>
      </c>
    </row>
    <row r="304" spans="1:17" ht="15.75" customHeight="1">
      <c r="A304" s="13" t="s">
        <v>25</v>
      </c>
      <c r="B304" s="13" t="s">
        <v>26</v>
      </c>
      <c r="C304" s="13" t="s">
        <v>9</v>
      </c>
      <c r="D304" s="15" t="s">
        <v>474</v>
      </c>
      <c r="E304" s="15" t="s">
        <v>494</v>
      </c>
      <c r="F304" s="15" t="s">
        <v>60</v>
      </c>
      <c r="G304" s="17">
        <v>225000</v>
      </c>
      <c r="H304" s="25">
        <v>45803</v>
      </c>
      <c r="I304" s="19" t="str">
        <f>IF(N304&gt;1,"group","individual")</f>
        <v>individual</v>
      </c>
      <c r="J304" s="70"/>
      <c r="K304" s="69">
        <v>1</v>
      </c>
      <c r="L304" s="21"/>
      <c r="M304" s="21"/>
      <c r="N304" s="19">
        <f>SUM(J304:K304)</f>
        <v>1</v>
      </c>
      <c r="O304" s="19">
        <f>SUM(L304:M304)</f>
        <v>0</v>
      </c>
      <c r="P304" s="85" t="s">
        <v>30</v>
      </c>
      <c r="Q304" s="39" t="s">
        <v>139</v>
      </c>
    </row>
    <row r="305" spans="1:17" ht="15.75" customHeight="1">
      <c r="A305" s="13" t="s">
        <v>25</v>
      </c>
      <c r="B305" s="13" t="s">
        <v>26</v>
      </c>
      <c r="C305" s="13" t="s">
        <v>9</v>
      </c>
      <c r="D305" s="15" t="s">
        <v>474</v>
      </c>
      <c r="E305" s="15" t="s">
        <v>495</v>
      </c>
      <c r="F305" s="15" t="s">
        <v>60</v>
      </c>
      <c r="G305" s="17">
        <v>225000</v>
      </c>
      <c r="H305" s="25">
        <v>45803</v>
      </c>
      <c r="I305" s="19" t="str">
        <f>IF(N305&gt;1,"group","individual")</f>
        <v>individual</v>
      </c>
      <c r="J305" s="70"/>
      <c r="K305" s="69">
        <v>1</v>
      </c>
      <c r="L305" s="21"/>
      <c r="M305" s="21"/>
      <c r="N305" s="19">
        <f>SUM(J305:K305)</f>
        <v>1</v>
      </c>
      <c r="O305" s="19">
        <f>SUM(L305:M305)</f>
        <v>0</v>
      </c>
      <c r="P305" s="85" t="s">
        <v>30</v>
      </c>
      <c r="Q305" s="39" t="s">
        <v>139</v>
      </c>
    </row>
    <row r="306" spans="1:17" ht="15.75" customHeight="1">
      <c r="A306" s="13" t="s">
        <v>25</v>
      </c>
      <c r="B306" s="13" t="s">
        <v>26</v>
      </c>
      <c r="C306" s="13" t="s">
        <v>9</v>
      </c>
      <c r="D306" s="15" t="s">
        <v>474</v>
      </c>
      <c r="E306" s="15" t="s">
        <v>496</v>
      </c>
      <c r="F306" s="15" t="s">
        <v>294</v>
      </c>
      <c r="G306" s="17">
        <v>225000</v>
      </c>
      <c r="H306" s="25">
        <v>45803</v>
      </c>
      <c r="I306" s="19" t="str">
        <f>IF(N306&gt;1,"group","individual")</f>
        <v>group</v>
      </c>
      <c r="J306" s="69">
        <v>3</v>
      </c>
      <c r="K306" s="69">
        <v>2</v>
      </c>
      <c r="L306" s="21"/>
      <c r="M306" s="21"/>
      <c r="N306" s="19">
        <f>SUM(J306:K306)</f>
        <v>5</v>
      </c>
      <c r="O306" s="19">
        <f>SUM(L306:M306)</f>
        <v>0</v>
      </c>
      <c r="P306" s="85" t="s">
        <v>30</v>
      </c>
      <c r="Q306" s="39" t="s">
        <v>139</v>
      </c>
    </row>
    <row r="307" spans="1:17" ht="15.75" customHeight="1">
      <c r="A307" s="13" t="s">
        <v>25</v>
      </c>
      <c r="B307" s="13" t="s">
        <v>26</v>
      </c>
      <c r="C307" s="13" t="s">
        <v>9</v>
      </c>
      <c r="D307" s="15" t="s">
        <v>474</v>
      </c>
      <c r="E307" s="16" t="s">
        <v>497</v>
      </c>
      <c r="F307" s="15" t="s">
        <v>294</v>
      </c>
      <c r="G307" s="17">
        <v>225000</v>
      </c>
      <c r="H307" s="25">
        <v>45805</v>
      </c>
      <c r="I307" s="19" t="str">
        <f>IF(N307&gt;1,"group","individual")</f>
        <v>group</v>
      </c>
      <c r="J307" s="70"/>
      <c r="K307" s="69">
        <v>3</v>
      </c>
      <c r="L307" s="21"/>
      <c r="M307" s="21"/>
      <c r="N307" s="19">
        <f>SUM(J307:K307)</f>
        <v>3</v>
      </c>
      <c r="O307" s="19">
        <f>SUM(L307:M307)</f>
        <v>0</v>
      </c>
      <c r="P307" s="85" t="s">
        <v>30</v>
      </c>
      <c r="Q307" s="192" t="s">
        <v>139</v>
      </c>
    </row>
    <row r="308" spans="1:17" ht="15.75" customHeight="1">
      <c r="A308" s="13" t="s">
        <v>25</v>
      </c>
      <c r="B308" s="13" t="s">
        <v>26</v>
      </c>
      <c r="C308" s="13" t="s">
        <v>9</v>
      </c>
      <c r="D308" s="15" t="s">
        <v>474</v>
      </c>
      <c r="E308" s="15" t="s">
        <v>498</v>
      </c>
      <c r="F308" s="15" t="s">
        <v>499</v>
      </c>
      <c r="G308" s="17">
        <v>225000</v>
      </c>
      <c r="H308" s="25">
        <v>45804</v>
      </c>
      <c r="I308" s="19" t="str">
        <f>IF(N308&gt;1,"group","individual")</f>
        <v>individual</v>
      </c>
      <c r="J308" s="70"/>
      <c r="K308" s="69">
        <v>1</v>
      </c>
      <c r="L308" s="21"/>
      <c r="M308" s="21"/>
      <c r="N308" s="19">
        <f>SUM(J308:K308)</f>
        <v>1</v>
      </c>
      <c r="O308" s="19">
        <f>SUM(L308:M308)</f>
        <v>0</v>
      </c>
      <c r="P308" s="85" t="s">
        <v>30</v>
      </c>
      <c r="Q308" s="39" t="s">
        <v>500</v>
      </c>
    </row>
    <row r="309" spans="1:17" ht="15.75" customHeight="1">
      <c r="A309" s="13" t="s">
        <v>25</v>
      </c>
      <c r="B309" s="13" t="s">
        <v>26</v>
      </c>
      <c r="C309" s="13" t="s">
        <v>9</v>
      </c>
      <c r="D309" s="15" t="s">
        <v>474</v>
      </c>
      <c r="E309" s="15" t="s">
        <v>501</v>
      </c>
      <c r="F309" s="15" t="s">
        <v>502</v>
      </c>
      <c r="G309" s="17">
        <v>75000</v>
      </c>
      <c r="H309" s="25">
        <v>45804</v>
      </c>
      <c r="I309" s="19" t="str">
        <f>IF(N309&gt;1,"group","individual")</f>
        <v>individual</v>
      </c>
      <c r="J309" s="70"/>
      <c r="K309" s="69">
        <v>1</v>
      </c>
      <c r="L309" s="21"/>
      <c r="M309" s="21"/>
      <c r="N309" s="19">
        <f>SUM(J309:K309)</f>
        <v>1</v>
      </c>
      <c r="O309" s="19">
        <f>SUM(L309:M309)</f>
        <v>0</v>
      </c>
      <c r="P309" s="59" t="s">
        <v>30</v>
      </c>
      <c r="Q309" s="23" t="s">
        <v>500</v>
      </c>
    </row>
    <row r="310" spans="1:17" ht="15.75" customHeight="1">
      <c r="A310" s="13" t="s">
        <v>25</v>
      </c>
      <c r="B310" s="13" t="s">
        <v>26</v>
      </c>
      <c r="C310" s="13" t="s">
        <v>9</v>
      </c>
      <c r="D310" s="15" t="s">
        <v>474</v>
      </c>
      <c r="E310" s="15" t="s">
        <v>503</v>
      </c>
      <c r="F310" s="15" t="s">
        <v>504</v>
      </c>
      <c r="G310" s="17">
        <v>75000</v>
      </c>
      <c r="H310" s="18">
        <v>45806</v>
      </c>
      <c r="I310" s="19" t="str">
        <f>IF(N310&gt;1,"group","individual")</f>
        <v>individual</v>
      </c>
      <c r="J310" s="69">
        <v>1</v>
      </c>
      <c r="K310" s="70"/>
      <c r="L310" s="21"/>
      <c r="M310" s="21"/>
      <c r="N310" s="19">
        <f>SUM(J310:K310)</f>
        <v>1</v>
      </c>
      <c r="O310" s="19">
        <f>SUM(L310:M310)</f>
        <v>0</v>
      </c>
      <c r="P310" s="85" t="s">
        <v>30</v>
      </c>
      <c r="Q310" s="39" t="s">
        <v>303</v>
      </c>
    </row>
    <row r="311" spans="1:17" ht="15.75" customHeight="1">
      <c r="A311" s="13" t="s">
        <v>25</v>
      </c>
      <c r="B311" s="13" t="s">
        <v>26</v>
      </c>
      <c r="C311" s="13" t="s">
        <v>9</v>
      </c>
      <c r="D311" s="15" t="s">
        <v>474</v>
      </c>
      <c r="E311" s="15" t="s">
        <v>505</v>
      </c>
      <c r="F311" s="15" t="s">
        <v>294</v>
      </c>
      <c r="G311" s="17">
        <v>225000</v>
      </c>
      <c r="H311" s="66">
        <v>45812</v>
      </c>
      <c r="I311" s="19" t="str">
        <f>IF(N311&gt;1,"group","individual")</f>
        <v>group</v>
      </c>
      <c r="J311" s="70"/>
      <c r="K311" s="69">
        <v>5</v>
      </c>
      <c r="L311" s="21"/>
      <c r="M311" s="21"/>
      <c r="N311" s="19">
        <f>SUM(J311:K311)</f>
        <v>5</v>
      </c>
      <c r="O311" s="19">
        <f>SUM(L311:M311)</f>
        <v>0</v>
      </c>
      <c r="P311" s="72" t="s">
        <v>183</v>
      </c>
      <c r="Q311" s="186" t="s">
        <v>506</v>
      </c>
    </row>
    <row r="312" spans="1:17" ht="15.75" customHeight="1">
      <c r="A312" s="13" t="s">
        <v>25</v>
      </c>
      <c r="B312" s="13" t="s">
        <v>26</v>
      </c>
      <c r="C312" s="13" t="s">
        <v>9</v>
      </c>
      <c r="D312" s="15" t="s">
        <v>474</v>
      </c>
      <c r="E312" s="15" t="s">
        <v>507</v>
      </c>
      <c r="F312" s="15" t="s">
        <v>215</v>
      </c>
      <c r="G312" s="17">
        <v>75000</v>
      </c>
      <c r="H312" s="66">
        <v>45812</v>
      </c>
      <c r="I312" s="19" t="str">
        <f>IF(N312&gt;1,"group","individual")</f>
        <v>individual</v>
      </c>
      <c r="J312" s="69">
        <v>1</v>
      </c>
      <c r="K312" s="70"/>
      <c r="L312" s="21"/>
      <c r="M312" s="21"/>
      <c r="N312" s="19">
        <f>SUM(J312:K312)</f>
        <v>1</v>
      </c>
      <c r="O312" s="19">
        <f>SUM(L312:M312)</f>
        <v>0</v>
      </c>
      <c r="P312" s="179" t="s">
        <v>183</v>
      </c>
      <c r="Q312" s="186" t="s">
        <v>506</v>
      </c>
    </row>
    <row r="313" spans="1:17" ht="15.75" customHeight="1">
      <c r="A313" s="13" t="s">
        <v>25</v>
      </c>
      <c r="B313" s="13" t="s">
        <v>26</v>
      </c>
      <c r="C313" s="13" t="s">
        <v>9</v>
      </c>
      <c r="D313" s="15" t="s">
        <v>474</v>
      </c>
      <c r="E313" s="15" t="s">
        <v>508</v>
      </c>
      <c r="F313" s="15" t="s">
        <v>457</v>
      </c>
      <c r="G313" s="17">
        <v>75000</v>
      </c>
      <c r="H313" s="66">
        <v>45812</v>
      </c>
      <c r="I313" s="19" t="str">
        <f>IF(N313&gt;1,"group","individual")</f>
        <v>individual</v>
      </c>
      <c r="J313" s="70"/>
      <c r="K313" s="69">
        <v>1</v>
      </c>
      <c r="L313" s="21"/>
      <c r="M313" s="21"/>
      <c r="N313" s="19">
        <f>SUM(J313:K313)</f>
        <v>1</v>
      </c>
      <c r="O313" s="19">
        <f>SUM(L313:M313)</f>
        <v>0</v>
      </c>
      <c r="P313" s="72" t="s">
        <v>30</v>
      </c>
      <c r="Q313" s="41" t="s">
        <v>506</v>
      </c>
    </row>
    <row r="314" spans="1:17" ht="15.75" customHeight="1">
      <c r="A314" s="13" t="s">
        <v>25</v>
      </c>
      <c r="B314" s="13" t="s">
        <v>26</v>
      </c>
      <c r="C314" s="13" t="s">
        <v>9</v>
      </c>
      <c r="D314" s="15" t="s">
        <v>474</v>
      </c>
      <c r="E314" s="15" t="s">
        <v>509</v>
      </c>
      <c r="F314" s="15" t="s">
        <v>480</v>
      </c>
      <c r="G314" s="17">
        <v>75000</v>
      </c>
      <c r="H314" s="66">
        <v>45812</v>
      </c>
      <c r="I314" s="19" t="str">
        <f>IF(N314&gt;1,"group","individual")</f>
        <v>individual</v>
      </c>
      <c r="J314" s="70"/>
      <c r="K314" s="69">
        <v>1</v>
      </c>
      <c r="L314" s="21"/>
      <c r="M314" s="21"/>
      <c r="N314" s="19">
        <f>SUM(J314:K314)</f>
        <v>1</v>
      </c>
      <c r="O314" s="19">
        <f>SUM(L314:M314)</f>
        <v>0</v>
      </c>
      <c r="P314" s="72" t="s">
        <v>183</v>
      </c>
      <c r="Q314" s="41" t="s">
        <v>506</v>
      </c>
    </row>
    <row r="315" spans="1:17" ht="15.75" customHeight="1">
      <c r="A315" s="13" t="s">
        <v>25</v>
      </c>
      <c r="B315" s="13" t="s">
        <v>26</v>
      </c>
      <c r="C315" s="13" t="s">
        <v>9</v>
      </c>
      <c r="D315" s="15" t="s">
        <v>474</v>
      </c>
      <c r="E315" s="15" t="s">
        <v>510</v>
      </c>
      <c r="F315" s="15" t="s">
        <v>60</v>
      </c>
      <c r="G315" s="17">
        <v>225000</v>
      </c>
      <c r="H315" s="66">
        <v>45812</v>
      </c>
      <c r="I315" s="19" t="str">
        <f>IF(N315&gt;1,"group","individual")</f>
        <v>individual</v>
      </c>
      <c r="J315" s="70"/>
      <c r="K315" s="69">
        <v>1</v>
      </c>
      <c r="L315" s="21"/>
      <c r="M315" s="21"/>
      <c r="N315" s="19">
        <f>SUM(J315:K315)</f>
        <v>1</v>
      </c>
      <c r="O315" s="19">
        <f>SUM(L315:M315)</f>
        <v>0</v>
      </c>
      <c r="P315" s="72" t="s">
        <v>30</v>
      </c>
      <c r="Q315" s="41" t="s">
        <v>506</v>
      </c>
    </row>
    <row r="316" spans="1:17" ht="15.75" customHeight="1">
      <c r="A316" s="13" t="s">
        <v>25</v>
      </c>
      <c r="B316" s="13" t="s">
        <v>26</v>
      </c>
      <c r="C316" s="13" t="s">
        <v>9</v>
      </c>
      <c r="D316" s="15" t="s">
        <v>474</v>
      </c>
      <c r="E316" s="15" t="s">
        <v>511</v>
      </c>
      <c r="F316" s="15" t="s">
        <v>512</v>
      </c>
      <c r="G316" s="17">
        <v>225000</v>
      </c>
      <c r="H316" s="26">
        <v>45820</v>
      </c>
      <c r="I316" s="19" t="str">
        <f>IF(N316&gt;1,"group","individual")</f>
        <v>group</v>
      </c>
      <c r="J316" s="69">
        <v>3</v>
      </c>
      <c r="K316" s="69">
        <v>2</v>
      </c>
      <c r="L316" s="21"/>
      <c r="M316" s="21"/>
      <c r="N316" s="19">
        <f>SUM(J316:K316)</f>
        <v>5</v>
      </c>
      <c r="O316" s="19">
        <f>SUM(L316:M316)</f>
        <v>0</v>
      </c>
      <c r="P316" s="72" t="s">
        <v>30</v>
      </c>
      <c r="Q316" s="41" t="s">
        <v>506</v>
      </c>
    </row>
    <row r="317" spans="1:17" ht="15.75" customHeight="1">
      <c r="A317" s="13" t="s">
        <v>25</v>
      </c>
      <c r="B317" s="13" t="s">
        <v>26</v>
      </c>
      <c r="C317" s="13" t="s">
        <v>9</v>
      </c>
      <c r="D317" s="15" t="s">
        <v>474</v>
      </c>
      <c r="E317" s="15" t="s">
        <v>513</v>
      </c>
      <c r="F317" s="15" t="s">
        <v>141</v>
      </c>
      <c r="G317" s="17">
        <v>225000</v>
      </c>
      <c r="H317" s="54">
        <v>45826</v>
      </c>
      <c r="I317" s="19" t="str">
        <f>IF(N317&gt;1,"group","individual")</f>
        <v>group</v>
      </c>
      <c r="J317" s="70"/>
      <c r="K317" s="69">
        <v>5</v>
      </c>
      <c r="L317" s="21"/>
      <c r="M317" s="21"/>
      <c r="N317" s="19">
        <f>SUM(J317:K317)</f>
        <v>5</v>
      </c>
      <c r="O317" s="19">
        <f>SUM(L317:M317)</f>
        <v>0</v>
      </c>
      <c r="P317" s="73" t="s">
        <v>30</v>
      </c>
      <c r="Q317" s="41" t="s">
        <v>506</v>
      </c>
    </row>
    <row r="318" spans="1:17" ht="15.75" customHeight="1">
      <c r="A318" s="13" t="s">
        <v>25</v>
      </c>
      <c r="B318" s="13" t="s">
        <v>26</v>
      </c>
      <c r="C318" s="13" t="s">
        <v>9</v>
      </c>
      <c r="D318" s="15" t="s">
        <v>474</v>
      </c>
      <c r="E318" s="15" t="s">
        <v>514</v>
      </c>
      <c r="F318" s="15" t="s">
        <v>141</v>
      </c>
      <c r="G318" s="17">
        <v>75000</v>
      </c>
      <c r="H318" s="54">
        <v>45826</v>
      </c>
      <c r="I318" s="19" t="str">
        <f>IF(N318&gt;1,"group","individual")</f>
        <v>individual</v>
      </c>
      <c r="J318" s="70"/>
      <c r="K318" s="69">
        <v>1</v>
      </c>
      <c r="L318" s="21"/>
      <c r="M318" s="21"/>
      <c r="N318" s="19">
        <f>SUM(J318:K318)</f>
        <v>1</v>
      </c>
      <c r="O318" s="19">
        <f>SUM(L318:M318)</f>
        <v>0</v>
      </c>
      <c r="P318" s="73" t="s">
        <v>30</v>
      </c>
      <c r="Q318" s="41" t="s">
        <v>506</v>
      </c>
    </row>
    <row r="319" spans="1:17" ht="15.75" customHeight="1">
      <c r="A319" s="13" t="s">
        <v>25</v>
      </c>
      <c r="B319" s="13" t="s">
        <v>26</v>
      </c>
      <c r="C319" s="13" t="s">
        <v>9</v>
      </c>
      <c r="D319" s="15" t="s">
        <v>474</v>
      </c>
      <c r="E319" s="15" t="s">
        <v>515</v>
      </c>
      <c r="F319" s="15" t="s">
        <v>76</v>
      </c>
      <c r="G319" s="17">
        <v>75000</v>
      </c>
      <c r="H319" s="54">
        <v>45833</v>
      </c>
      <c r="I319" s="19" t="str">
        <f>IF(N319&gt;1,"group","individual")</f>
        <v>individual</v>
      </c>
      <c r="J319" s="70"/>
      <c r="K319" s="69">
        <v>1</v>
      </c>
      <c r="L319" s="21"/>
      <c r="M319" s="21"/>
      <c r="N319" s="19">
        <f>SUM(J319:K319)</f>
        <v>1</v>
      </c>
      <c r="O319" s="19">
        <f>SUM(L319:M319)</f>
        <v>0</v>
      </c>
      <c r="P319" s="73" t="s">
        <v>30</v>
      </c>
      <c r="Q319" s="41" t="s">
        <v>506</v>
      </c>
    </row>
    <row r="320" spans="1:17" ht="15.75" customHeight="1">
      <c r="A320" s="13" t="s">
        <v>25</v>
      </c>
      <c r="B320" s="13" t="s">
        <v>26</v>
      </c>
      <c r="C320" s="13" t="s">
        <v>9</v>
      </c>
      <c r="D320" s="15" t="s">
        <v>474</v>
      </c>
      <c r="E320" s="15" t="s">
        <v>516</v>
      </c>
      <c r="F320" s="15" t="s">
        <v>76</v>
      </c>
      <c r="G320" s="17">
        <v>225000</v>
      </c>
      <c r="H320" s="18">
        <v>45833</v>
      </c>
      <c r="I320" s="19" t="str">
        <f>IF(N320&gt;1,"group","individual")</f>
        <v>individual</v>
      </c>
      <c r="J320" s="69">
        <v>1</v>
      </c>
      <c r="K320" s="70"/>
      <c r="L320" s="21"/>
      <c r="M320" s="21"/>
      <c r="N320" s="19">
        <f>SUM(J320:K320)</f>
        <v>1</v>
      </c>
      <c r="O320" s="19">
        <f>SUM(L320:M320)</f>
        <v>0</v>
      </c>
      <c r="P320" s="59" t="s">
        <v>30</v>
      </c>
      <c r="Q320" s="23" t="s">
        <v>235</v>
      </c>
    </row>
    <row r="321" spans="1:17" ht="15.75" customHeight="1">
      <c r="A321" s="13" t="s">
        <v>25</v>
      </c>
      <c r="B321" s="13" t="s">
        <v>26</v>
      </c>
      <c r="C321" s="13" t="s">
        <v>9</v>
      </c>
      <c r="D321" s="15" t="s">
        <v>474</v>
      </c>
      <c r="E321" s="15" t="s">
        <v>517</v>
      </c>
      <c r="F321" s="106" t="s">
        <v>518</v>
      </c>
      <c r="G321" s="17">
        <v>225000</v>
      </c>
      <c r="H321" s="18">
        <v>45833</v>
      </c>
      <c r="I321" s="19" t="str">
        <f>IF(N321&gt;1,"group","individual")</f>
        <v>individual</v>
      </c>
      <c r="J321" s="69">
        <v>1</v>
      </c>
      <c r="K321" s="70"/>
      <c r="L321" s="21"/>
      <c r="M321" s="21"/>
      <c r="N321" s="19">
        <f>SUM(J321:K321)</f>
        <v>1</v>
      </c>
      <c r="O321" s="19">
        <f>SUM(L321:M321)</f>
        <v>0</v>
      </c>
      <c r="P321" s="59" t="s">
        <v>30</v>
      </c>
      <c r="Q321" s="23" t="s">
        <v>235</v>
      </c>
    </row>
    <row r="322" spans="1:17" ht="15.75" customHeight="1">
      <c r="A322" s="13" t="s">
        <v>25</v>
      </c>
      <c r="B322" s="13" t="s">
        <v>26</v>
      </c>
      <c r="C322" s="13" t="s">
        <v>9</v>
      </c>
      <c r="D322" s="15" t="s">
        <v>474</v>
      </c>
      <c r="E322" s="15" t="s">
        <v>519</v>
      </c>
      <c r="F322" s="15" t="s">
        <v>76</v>
      </c>
      <c r="G322" s="17">
        <v>150000</v>
      </c>
      <c r="H322" s="18">
        <v>45833</v>
      </c>
      <c r="I322" s="19" t="str">
        <f>IF(N322&gt;1,"group","individual")</f>
        <v>individual</v>
      </c>
      <c r="J322" s="70"/>
      <c r="K322" s="69">
        <v>1</v>
      </c>
      <c r="L322" s="21"/>
      <c r="M322" s="21"/>
      <c r="N322" s="19">
        <f>SUM(J322:K322)</f>
        <v>1</v>
      </c>
      <c r="O322" s="19">
        <f>SUM(L322:M322)</f>
        <v>0</v>
      </c>
      <c r="P322" s="59" t="s">
        <v>30</v>
      </c>
      <c r="Q322" s="23" t="s">
        <v>235</v>
      </c>
    </row>
    <row r="323" spans="1:17" ht="15.75" customHeight="1">
      <c r="A323" s="13" t="s">
        <v>25</v>
      </c>
      <c r="B323" s="13" t="s">
        <v>26</v>
      </c>
      <c r="C323" s="13" t="s">
        <v>9</v>
      </c>
      <c r="D323" s="15" t="s">
        <v>474</v>
      </c>
      <c r="E323" s="70" t="s">
        <v>520</v>
      </c>
      <c r="F323" s="70" t="s">
        <v>234</v>
      </c>
      <c r="G323" s="17">
        <v>225000</v>
      </c>
      <c r="H323" s="150" t="s">
        <v>364</v>
      </c>
      <c r="I323" s="19" t="str">
        <f>IF(N323&gt;1,"group","individual")</f>
        <v>group</v>
      </c>
      <c r="J323" s="69">
        <v>1</v>
      </c>
      <c r="K323" s="69">
        <v>4</v>
      </c>
      <c r="L323" s="21"/>
      <c r="M323" s="21"/>
      <c r="N323" s="19">
        <f>SUM(J323:K323)</f>
        <v>5</v>
      </c>
      <c r="O323" s="19">
        <f>SUM(L323:M323)</f>
        <v>0</v>
      </c>
      <c r="P323" s="59" t="s">
        <v>30</v>
      </c>
      <c r="Q323" s="23" t="s">
        <v>473</v>
      </c>
    </row>
    <row r="324" spans="1:17" ht="15.75" customHeight="1">
      <c r="A324" s="13" t="s">
        <v>25</v>
      </c>
      <c r="B324" s="13" t="s">
        <v>26</v>
      </c>
      <c r="C324" s="13" t="s">
        <v>9</v>
      </c>
      <c r="D324" s="15" t="s">
        <v>474</v>
      </c>
      <c r="E324" s="70" t="s">
        <v>521</v>
      </c>
      <c r="F324" s="70" t="s">
        <v>37</v>
      </c>
      <c r="G324" s="17">
        <v>225000</v>
      </c>
      <c r="H324" s="150" t="s">
        <v>364</v>
      </c>
      <c r="I324" s="19" t="str">
        <f>IF(N324&gt;1,"group","individual")</f>
        <v>group</v>
      </c>
      <c r="J324" s="69">
        <v>2</v>
      </c>
      <c r="K324" s="69">
        <v>1</v>
      </c>
      <c r="L324" s="21"/>
      <c r="M324" s="21"/>
      <c r="N324" s="19">
        <f>SUM(J324:K324)</f>
        <v>3</v>
      </c>
      <c r="O324" s="19">
        <f>SUM(L324:M324)</f>
        <v>0</v>
      </c>
      <c r="P324" s="59" t="s">
        <v>30</v>
      </c>
      <c r="Q324" s="23" t="s">
        <v>473</v>
      </c>
    </row>
    <row r="325" spans="1:17" ht="15.75" customHeight="1">
      <c r="A325" s="120" t="s">
        <v>25</v>
      </c>
      <c r="B325" s="120" t="s">
        <v>26</v>
      </c>
      <c r="C325" s="120" t="s">
        <v>9</v>
      </c>
      <c r="D325" s="87" t="s">
        <v>474</v>
      </c>
      <c r="E325" s="87" t="s">
        <v>522</v>
      </c>
      <c r="F325" s="87" t="s">
        <v>76</v>
      </c>
      <c r="G325" s="33">
        <v>225000</v>
      </c>
      <c r="H325" s="34" t="s">
        <v>383</v>
      </c>
      <c r="I325" s="19" t="str">
        <f>IF(N325&gt;1,"group","individual")</f>
        <v>individual</v>
      </c>
      <c r="J325" s="88">
        <v>1</v>
      </c>
      <c r="K325" s="87"/>
      <c r="L325" s="120"/>
      <c r="M325" s="120"/>
      <c r="N325" s="19">
        <f>SUM(J325:K325)</f>
        <v>1</v>
      </c>
      <c r="O325" s="19">
        <f>SUM(L325:M325)</f>
        <v>0</v>
      </c>
      <c r="P325" s="72" t="s">
        <v>183</v>
      </c>
      <c r="Q325" s="23" t="s">
        <v>418</v>
      </c>
    </row>
    <row r="326" spans="1:17" ht="15.75" customHeight="1">
      <c r="A326" s="120" t="s">
        <v>25</v>
      </c>
      <c r="B326" s="120" t="s">
        <v>26</v>
      </c>
      <c r="C326" s="120" t="s">
        <v>9</v>
      </c>
      <c r="D326" s="87" t="s">
        <v>474</v>
      </c>
      <c r="E326" s="87" t="s">
        <v>523</v>
      </c>
      <c r="F326" s="87" t="s">
        <v>524</v>
      </c>
      <c r="G326" s="33">
        <v>225000</v>
      </c>
      <c r="H326" s="34" t="s">
        <v>383</v>
      </c>
      <c r="I326" s="19" t="str">
        <f>IF(N326&gt;1,"group","individual")</f>
        <v>group</v>
      </c>
      <c r="J326" s="88">
        <v>2</v>
      </c>
      <c r="K326" s="88">
        <v>3</v>
      </c>
      <c r="L326" s="120"/>
      <c r="M326" s="120"/>
      <c r="N326" s="19">
        <f>SUM(J326:K326)</f>
        <v>5</v>
      </c>
      <c r="O326" s="19">
        <f>SUM(L326:M326)</f>
        <v>0</v>
      </c>
      <c r="P326" s="59" t="s">
        <v>30</v>
      </c>
      <c r="Q326" s="23" t="s">
        <v>130</v>
      </c>
    </row>
    <row r="327" spans="1:17" ht="15.75" customHeight="1">
      <c r="A327" s="120" t="s">
        <v>25</v>
      </c>
      <c r="B327" s="120" t="s">
        <v>26</v>
      </c>
      <c r="C327" s="120" t="s">
        <v>9</v>
      </c>
      <c r="D327" s="87" t="s">
        <v>474</v>
      </c>
      <c r="E327" s="87" t="s">
        <v>525</v>
      </c>
      <c r="F327" s="87" t="s">
        <v>327</v>
      </c>
      <c r="G327" s="33">
        <v>150000</v>
      </c>
      <c r="H327" s="34" t="s">
        <v>383</v>
      </c>
      <c r="I327" s="19" t="str">
        <f>IF(N327&gt;1,"group","individual")</f>
        <v>individual</v>
      </c>
      <c r="J327" s="87"/>
      <c r="K327" s="88">
        <v>1</v>
      </c>
      <c r="L327" s="120"/>
      <c r="M327" s="120"/>
      <c r="N327" s="19">
        <f>SUM(J327:K327)</f>
        <v>1</v>
      </c>
      <c r="O327" s="19">
        <f>SUM(L327:M327)</f>
        <v>0</v>
      </c>
      <c r="P327" s="59" t="s">
        <v>30</v>
      </c>
      <c r="Q327" s="23" t="s">
        <v>248</v>
      </c>
    </row>
    <row r="328" spans="1:17" ht="15.75" customHeight="1">
      <c r="A328" s="120" t="s">
        <v>25</v>
      </c>
      <c r="B328" s="120" t="s">
        <v>26</v>
      </c>
      <c r="C328" s="120" t="s">
        <v>9</v>
      </c>
      <c r="D328" s="87" t="s">
        <v>474</v>
      </c>
      <c r="E328" s="87" t="s">
        <v>526</v>
      </c>
      <c r="F328" s="87" t="s">
        <v>76</v>
      </c>
      <c r="G328" s="33">
        <v>75000</v>
      </c>
      <c r="H328" s="34" t="s">
        <v>383</v>
      </c>
      <c r="I328" s="19" t="str">
        <f>IF(N328&gt;1,"group","individual")</f>
        <v>individual</v>
      </c>
      <c r="J328" s="88">
        <v>1</v>
      </c>
      <c r="K328" s="87"/>
      <c r="L328" s="120"/>
      <c r="M328" s="120"/>
      <c r="N328" s="19">
        <f>SUM(J328:K328)</f>
        <v>1</v>
      </c>
      <c r="O328" s="19">
        <f>SUM(L328:M328)</f>
        <v>0</v>
      </c>
      <c r="P328" s="59" t="s">
        <v>30</v>
      </c>
      <c r="Q328" s="23" t="s">
        <v>248</v>
      </c>
    </row>
    <row r="329" spans="1:17" ht="15.75" customHeight="1">
      <c r="A329" s="120" t="s">
        <v>25</v>
      </c>
      <c r="B329" s="155" t="s">
        <v>26</v>
      </c>
      <c r="C329" s="155" t="s">
        <v>9</v>
      </c>
      <c r="D329" s="157" t="s">
        <v>474</v>
      </c>
      <c r="E329" s="157" t="s">
        <v>527</v>
      </c>
      <c r="F329" s="157" t="s">
        <v>528</v>
      </c>
      <c r="G329" s="161">
        <v>225000</v>
      </c>
      <c r="H329" s="165" t="s">
        <v>383</v>
      </c>
      <c r="I329" s="19" t="str">
        <f>IF(N329&gt;1,"group","individual")</f>
        <v>individual</v>
      </c>
      <c r="J329" s="168">
        <v>1</v>
      </c>
      <c r="K329" s="157"/>
      <c r="L329" s="173"/>
      <c r="M329" s="155"/>
      <c r="N329" s="19">
        <f>SUM(J329:K329)</f>
        <v>1</v>
      </c>
      <c r="O329" s="19">
        <f>SUM(L329:M329)</f>
        <v>0</v>
      </c>
      <c r="P329" s="59" t="s">
        <v>30</v>
      </c>
      <c r="Q329" s="23" t="s">
        <v>248</v>
      </c>
    </row>
    <row r="330" spans="1:17" ht="15.75" customHeight="1">
      <c r="A330" s="120" t="s">
        <v>25</v>
      </c>
      <c r="B330" s="120" t="s">
        <v>26</v>
      </c>
      <c r="C330" s="120" t="s">
        <v>9</v>
      </c>
      <c r="D330" s="87" t="s">
        <v>474</v>
      </c>
      <c r="E330" s="87" t="s">
        <v>529</v>
      </c>
      <c r="F330" s="87" t="s">
        <v>186</v>
      </c>
      <c r="G330" s="33">
        <v>225000</v>
      </c>
      <c r="H330" s="34" t="s">
        <v>64</v>
      </c>
      <c r="I330" s="19" t="str">
        <f>IF(N330&gt;1,"group","individual")</f>
        <v>individual</v>
      </c>
      <c r="J330" s="88">
        <v>1</v>
      </c>
      <c r="K330" s="87"/>
      <c r="L330" s="120"/>
      <c r="M330" s="120"/>
      <c r="N330" s="19">
        <f>SUM(J330:K330)</f>
        <v>1</v>
      </c>
      <c r="O330" s="19">
        <f>SUM(L330:M330)</f>
        <v>0</v>
      </c>
      <c r="P330" s="72" t="s">
        <v>183</v>
      </c>
      <c r="Q330" s="23" t="s">
        <v>418</v>
      </c>
    </row>
    <row r="331" spans="1:17" ht="15.75" customHeight="1">
      <c r="A331" s="13" t="s">
        <v>25</v>
      </c>
      <c r="B331" s="13" t="s">
        <v>26</v>
      </c>
      <c r="C331" s="13" t="s">
        <v>9</v>
      </c>
      <c r="D331" s="70" t="s">
        <v>474</v>
      </c>
      <c r="E331" s="70" t="s">
        <v>530</v>
      </c>
      <c r="F331" s="70" t="s">
        <v>76</v>
      </c>
      <c r="G331" s="17">
        <v>180000</v>
      </c>
      <c r="H331" s="150" t="s">
        <v>64</v>
      </c>
      <c r="I331" s="19" t="str">
        <f>IF(N331&gt;1,"group","individual")</f>
        <v>individual</v>
      </c>
      <c r="J331" s="70"/>
      <c r="K331" s="69">
        <v>1</v>
      </c>
      <c r="L331" s="21"/>
      <c r="M331" s="21"/>
      <c r="N331" s="19">
        <f>SUM(J331:K331)</f>
        <v>1</v>
      </c>
      <c r="O331" s="19">
        <f>SUM(L331:M331)</f>
        <v>0</v>
      </c>
      <c r="P331" s="59" t="s">
        <v>30</v>
      </c>
      <c r="Q331" s="23" t="s">
        <v>401</v>
      </c>
    </row>
    <row r="332" spans="1:17" ht="15.75" customHeight="1">
      <c r="A332" s="120" t="s">
        <v>25</v>
      </c>
      <c r="B332" s="120" t="s">
        <v>26</v>
      </c>
      <c r="C332" s="120" t="s">
        <v>9</v>
      </c>
      <c r="D332" s="87" t="s">
        <v>474</v>
      </c>
      <c r="E332" s="87" t="s">
        <v>531</v>
      </c>
      <c r="F332" s="87" t="s">
        <v>169</v>
      </c>
      <c r="G332" s="33">
        <v>225000</v>
      </c>
      <c r="H332" s="34" t="s">
        <v>146</v>
      </c>
      <c r="I332" s="19" t="str">
        <f>IF(N332&gt;1,"group","individual")</f>
        <v>group</v>
      </c>
      <c r="J332" s="87"/>
      <c r="K332" s="88">
        <v>3</v>
      </c>
      <c r="L332" s="120"/>
      <c r="M332" s="120"/>
      <c r="N332" s="19">
        <f>SUM(J332:K332)</f>
        <v>3</v>
      </c>
      <c r="O332" s="19">
        <f>SUM(L332:M332)</f>
        <v>0</v>
      </c>
      <c r="P332" s="59" t="s">
        <v>30</v>
      </c>
      <c r="Q332" s="23" t="s">
        <v>532</v>
      </c>
    </row>
    <row r="333" spans="1:17" ht="15.75" customHeight="1">
      <c r="A333" s="13" t="s">
        <v>25</v>
      </c>
      <c r="B333" s="13" t="s">
        <v>26</v>
      </c>
      <c r="C333" s="13" t="s">
        <v>9</v>
      </c>
      <c r="D333" s="70" t="s">
        <v>474</v>
      </c>
      <c r="E333" s="70" t="s">
        <v>533</v>
      </c>
      <c r="F333" s="70" t="s">
        <v>186</v>
      </c>
      <c r="G333" s="17">
        <v>150000</v>
      </c>
      <c r="H333" s="150" t="s">
        <v>534</v>
      </c>
      <c r="I333" s="19" t="str">
        <f>IF(N333&gt;1,"group","individual")</f>
        <v>group</v>
      </c>
      <c r="J333" s="69">
        <v>1</v>
      </c>
      <c r="K333" s="69">
        <v>1</v>
      </c>
      <c r="L333" s="21"/>
      <c r="M333" s="21"/>
      <c r="N333" s="19">
        <f>SUM(J333:K333)</f>
        <v>2</v>
      </c>
      <c r="O333" s="19">
        <f>SUM(L333:M333)</f>
        <v>0</v>
      </c>
      <c r="P333" s="59" t="s">
        <v>30</v>
      </c>
      <c r="Q333" s="23" t="s">
        <v>74</v>
      </c>
    </row>
    <row r="334" spans="1:17" ht="15.75" customHeight="1">
      <c r="A334" s="113" t="s">
        <v>25</v>
      </c>
      <c r="B334" s="111" t="s">
        <v>26</v>
      </c>
      <c r="C334" s="111" t="s">
        <v>9</v>
      </c>
      <c r="D334" s="63" t="s">
        <v>474</v>
      </c>
      <c r="E334" s="63" t="s">
        <v>535</v>
      </c>
      <c r="F334" s="63" t="s">
        <v>320</v>
      </c>
      <c r="G334" s="65">
        <v>225000</v>
      </c>
      <c r="H334" s="64" t="s">
        <v>534</v>
      </c>
      <c r="I334" s="19" t="str">
        <f>IF(N334&gt;1,"group","individual")</f>
        <v>group</v>
      </c>
      <c r="J334" s="170">
        <v>3</v>
      </c>
      <c r="K334" s="105">
        <v>2</v>
      </c>
      <c r="L334" s="113"/>
      <c r="M334" s="111"/>
      <c r="N334" s="19">
        <f>SUM(J334:K334)</f>
        <v>5</v>
      </c>
      <c r="O334" s="19">
        <f>SUM(L334:M334)</f>
        <v>0</v>
      </c>
      <c r="P334" s="59" t="s">
        <v>30</v>
      </c>
      <c r="Q334" s="23" t="s">
        <v>103</v>
      </c>
    </row>
    <row r="335" spans="1:17" ht="15.75" customHeight="1">
      <c r="A335" s="13" t="s">
        <v>25</v>
      </c>
      <c r="B335" s="13" t="s">
        <v>26</v>
      </c>
      <c r="C335" s="13" t="s">
        <v>9</v>
      </c>
      <c r="D335" s="70" t="s">
        <v>474</v>
      </c>
      <c r="E335" s="70" t="s">
        <v>536</v>
      </c>
      <c r="F335" s="70" t="s">
        <v>149</v>
      </c>
      <c r="G335" s="17">
        <v>75000</v>
      </c>
      <c r="H335" s="150" t="s">
        <v>534</v>
      </c>
      <c r="I335" s="19" t="str">
        <f>IF(N335&gt;1,"group","individual")</f>
        <v>individual</v>
      </c>
      <c r="J335" s="70"/>
      <c r="K335" s="69">
        <v>1</v>
      </c>
      <c r="L335" s="21"/>
      <c r="M335" s="21"/>
      <c r="N335" s="19">
        <f>SUM(J335:K335)</f>
        <v>1</v>
      </c>
      <c r="O335" s="19">
        <f>SUM(L335:M335)</f>
        <v>0</v>
      </c>
      <c r="P335" s="59" t="s">
        <v>30</v>
      </c>
      <c r="Q335" s="23" t="s">
        <v>103</v>
      </c>
    </row>
    <row r="336" spans="1:17" ht="15.75" customHeight="1">
      <c r="A336" s="13" t="s">
        <v>25</v>
      </c>
      <c r="B336" s="13" t="s">
        <v>26</v>
      </c>
      <c r="C336" s="13" t="s">
        <v>9</v>
      </c>
      <c r="D336" s="70" t="s">
        <v>474</v>
      </c>
      <c r="E336" s="70" t="s">
        <v>537</v>
      </c>
      <c r="F336" s="70" t="s">
        <v>186</v>
      </c>
      <c r="G336" s="17">
        <v>75000</v>
      </c>
      <c r="H336" s="150" t="s">
        <v>534</v>
      </c>
      <c r="I336" s="19" t="str">
        <f>IF(N336&gt;1,"group","individual")</f>
        <v>individual</v>
      </c>
      <c r="J336" s="70"/>
      <c r="K336" s="69">
        <v>1</v>
      </c>
      <c r="L336" s="21"/>
      <c r="M336" s="21"/>
      <c r="N336" s="19">
        <f>SUM(J336:K336)</f>
        <v>1</v>
      </c>
      <c r="O336" s="19">
        <f>SUM(L336:M336)</f>
        <v>0</v>
      </c>
      <c r="P336" s="59" t="s">
        <v>30</v>
      </c>
      <c r="Q336" s="23" t="s">
        <v>139</v>
      </c>
    </row>
    <row r="337" spans="1:17" ht="15.75" customHeight="1">
      <c r="A337" s="13" t="s">
        <v>25</v>
      </c>
      <c r="B337" s="13" t="s">
        <v>26</v>
      </c>
      <c r="C337" s="13" t="s">
        <v>9</v>
      </c>
      <c r="D337" s="70" t="s">
        <v>474</v>
      </c>
      <c r="E337" s="70" t="s">
        <v>538</v>
      </c>
      <c r="F337" s="70" t="s">
        <v>37</v>
      </c>
      <c r="G337" s="17">
        <v>225000</v>
      </c>
      <c r="H337" s="150" t="s">
        <v>534</v>
      </c>
      <c r="I337" s="19" t="str">
        <f>IF(N337&gt;1,"group","individual")</f>
        <v>group</v>
      </c>
      <c r="J337" s="69">
        <v>1</v>
      </c>
      <c r="K337" s="69">
        <v>3</v>
      </c>
      <c r="L337" s="21"/>
      <c r="M337" s="21"/>
      <c r="N337" s="19">
        <f>SUM(J337:K337)</f>
        <v>4</v>
      </c>
      <c r="O337" s="19">
        <f>SUM(L337:M337)</f>
        <v>0</v>
      </c>
      <c r="P337" s="59" t="s">
        <v>30</v>
      </c>
      <c r="Q337" s="23" t="s">
        <v>539</v>
      </c>
    </row>
    <row r="338" spans="1:17" ht="15.75" customHeight="1">
      <c r="A338" s="13" t="s">
        <v>25</v>
      </c>
      <c r="B338" s="13" t="s">
        <v>26</v>
      </c>
      <c r="C338" s="13" t="s">
        <v>9</v>
      </c>
      <c r="D338" s="70" t="s">
        <v>474</v>
      </c>
      <c r="E338" s="70" t="s">
        <v>540</v>
      </c>
      <c r="F338" s="70" t="s">
        <v>541</v>
      </c>
      <c r="G338" s="17">
        <v>75000</v>
      </c>
      <c r="H338" s="150" t="s">
        <v>534</v>
      </c>
      <c r="I338" s="19" t="str">
        <f>IF(N338&gt;1,"group","individual")</f>
        <v>individual</v>
      </c>
      <c r="J338" s="70"/>
      <c r="K338" s="69">
        <v>1</v>
      </c>
      <c r="L338" s="21"/>
      <c r="M338" s="21"/>
      <c r="N338" s="19">
        <f>SUM(J338:K338)</f>
        <v>1</v>
      </c>
      <c r="O338" s="19">
        <f>SUM(L338:M338)</f>
        <v>0</v>
      </c>
      <c r="P338" s="59" t="s">
        <v>30</v>
      </c>
      <c r="Q338" s="23" t="s">
        <v>542</v>
      </c>
    </row>
    <row r="339" spans="1:17" ht="15.75" customHeight="1">
      <c r="A339" s="13" t="s">
        <v>25</v>
      </c>
      <c r="B339" s="13" t="s">
        <v>26</v>
      </c>
      <c r="C339" s="13" t="s">
        <v>9</v>
      </c>
      <c r="D339" s="70" t="s">
        <v>474</v>
      </c>
      <c r="E339" s="70" t="s">
        <v>543</v>
      </c>
      <c r="F339" s="70" t="s">
        <v>544</v>
      </c>
      <c r="G339" s="17">
        <v>225000</v>
      </c>
      <c r="H339" s="150" t="s">
        <v>545</v>
      </c>
      <c r="I339" s="19" t="str">
        <f>IF(N339&gt;1,"group","individual")</f>
        <v>individual</v>
      </c>
      <c r="J339" s="70"/>
      <c r="K339" s="69">
        <v>1</v>
      </c>
      <c r="L339" s="21"/>
      <c r="M339" s="21"/>
      <c r="N339" s="19">
        <f>SUM(J339:K339)</f>
        <v>1</v>
      </c>
      <c r="O339" s="19">
        <f>SUM(L339:M339)</f>
        <v>0</v>
      </c>
      <c r="P339" s="59" t="s">
        <v>30</v>
      </c>
      <c r="Q339" s="23" t="s">
        <v>542</v>
      </c>
    </row>
    <row r="340" spans="1:17" ht="15.75" customHeight="1">
      <c r="A340" s="13" t="s">
        <v>25</v>
      </c>
      <c r="B340" s="13" t="s">
        <v>26</v>
      </c>
      <c r="C340" s="13" t="s">
        <v>9</v>
      </c>
      <c r="D340" s="70" t="s">
        <v>474</v>
      </c>
      <c r="E340" s="70" t="s">
        <v>546</v>
      </c>
      <c r="F340" s="70" t="s">
        <v>37</v>
      </c>
      <c r="G340" s="17">
        <v>75000</v>
      </c>
      <c r="H340" s="18">
        <v>45919</v>
      </c>
      <c r="I340" s="115" t="str">
        <f>IF(N340&gt;1,"group","individual")</f>
        <v>individual</v>
      </c>
      <c r="J340" s="70"/>
      <c r="K340" s="69">
        <v>1</v>
      </c>
      <c r="L340" s="21"/>
      <c r="M340" s="21"/>
      <c r="N340" s="115">
        <f>SUM(J340:K340)</f>
        <v>1</v>
      </c>
      <c r="O340" s="115">
        <f>SUM(L340:M340)</f>
        <v>0</v>
      </c>
      <c r="P340" s="180" t="s">
        <v>30</v>
      </c>
      <c r="Q340" s="116" t="s">
        <v>547</v>
      </c>
    </row>
    <row r="341" spans="1:17" ht="15.75" customHeight="1">
      <c r="A341" s="13" t="s">
        <v>25</v>
      </c>
      <c r="B341" s="13" t="s">
        <v>26</v>
      </c>
      <c r="C341" s="13" t="s">
        <v>9</v>
      </c>
      <c r="D341" s="70" t="s">
        <v>474</v>
      </c>
      <c r="E341" s="70" t="s">
        <v>548</v>
      </c>
      <c r="F341" s="70" t="s">
        <v>186</v>
      </c>
      <c r="G341" s="17">
        <v>225000</v>
      </c>
      <c r="H341" s="18">
        <v>45919</v>
      </c>
      <c r="I341" s="115" t="str">
        <f>IF(N341&gt;1,"group","individual")</f>
        <v>individual</v>
      </c>
      <c r="J341" s="70"/>
      <c r="K341" s="69">
        <v>1</v>
      </c>
      <c r="L341" s="21"/>
      <c r="M341" s="21"/>
      <c r="N341" s="115">
        <f>SUM(J341:K341)</f>
        <v>1</v>
      </c>
      <c r="O341" s="115">
        <f>SUM(L341:M341)</f>
        <v>0</v>
      </c>
      <c r="P341" s="180" t="s">
        <v>30</v>
      </c>
      <c r="Q341" s="116" t="s">
        <v>547</v>
      </c>
    </row>
    <row r="342" spans="1:17" ht="15.75" customHeight="1">
      <c r="A342" s="13" t="s">
        <v>25</v>
      </c>
      <c r="B342" s="13" t="s">
        <v>26</v>
      </c>
      <c r="C342" s="13" t="s">
        <v>9</v>
      </c>
      <c r="D342" s="70" t="s">
        <v>549</v>
      </c>
      <c r="E342" s="70" t="s">
        <v>550</v>
      </c>
      <c r="F342" s="70" t="s">
        <v>191</v>
      </c>
      <c r="G342" s="17">
        <v>225000</v>
      </c>
      <c r="H342" s="18">
        <v>45799</v>
      </c>
      <c r="I342" s="115" t="str">
        <f>IF(N342&gt;1,"group","individual")</f>
        <v>group</v>
      </c>
      <c r="J342" s="69">
        <v>3</v>
      </c>
      <c r="K342" s="69">
        <v>2</v>
      </c>
      <c r="L342" s="118"/>
      <c r="M342" s="118"/>
      <c r="N342" s="115">
        <f>SUM(J342:K342)</f>
        <v>5</v>
      </c>
      <c r="O342" s="115">
        <f>SUM(L342:M342)</f>
        <v>0</v>
      </c>
      <c r="P342" s="178" t="s">
        <v>30</v>
      </c>
      <c r="Q342" s="178" t="s">
        <v>551</v>
      </c>
    </row>
    <row r="343" spans="1:17" ht="15.75" customHeight="1">
      <c r="A343" s="118" t="s">
        <v>25</v>
      </c>
      <c r="B343" s="118" t="s">
        <v>26</v>
      </c>
      <c r="C343" s="118" t="s">
        <v>9</v>
      </c>
      <c r="D343" s="70" t="s">
        <v>549</v>
      </c>
      <c r="E343" s="70" t="s">
        <v>552</v>
      </c>
      <c r="F343" s="70" t="s">
        <v>553</v>
      </c>
      <c r="G343" s="17">
        <v>225000</v>
      </c>
      <c r="H343" s="18">
        <v>45799</v>
      </c>
      <c r="I343" s="115" t="str">
        <f>IF(N343&gt;1,"group","individual")</f>
        <v>group</v>
      </c>
      <c r="J343" s="69">
        <v>1</v>
      </c>
      <c r="K343" s="69">
        <v>4</v>
      </c>
      <c r="L343" s="118"/>
      <c r="M343" s="118"/>
      <c r="N343" s="115">
        <f>SUM(J343:K343)</f>
        <v>5</v>
      </c>
      <c r="O343" s="115">
        <f>SUM(L343:M343)</f>
        <v>0</v>
      </c>
      <c r="P343" s="178" t="s">
        <v>30</v>
      </c>
      <c r="Q343" s="178" t="s">
        <v>554</v>
      </c>
    </row>
    <row r="344" spans="1:17" ht="15.75" customHeight="1">
      <c r="A344" s="13" t="s">
        <v>25</v>
      </c>
      <c r="B344" s="13" t="s">
        <v>26</v>
      </c>
      <c r="C344" s="13" t="s">
        <v>9</v>
      </c>
      <c r="D344" s="70" t="s">
        <v>549</v>
      </c>
      <c r="E344" s="70" t="s">
        <v>555</v>
      </c>
      <c r="F344" s="70" t="s">
        <v>186</v>
      </c>
      <c r="G344" s="17">
        <v>225000</v>
      </c>
      <c r="H344" s="18">
        <v>45799</v>
      </c>
      <c r="I344" s="115" t="str">
        <f>IF(N344&gt;1,"group","individual")</f>
        <v>group</v>
      </c>
      <c r="J344" s="70"/>
      <c r="K344" s="69">
        <v>5</v>
      </c>
      <c r="L344" s="118"/>
      <c r="M344" s="118"/>
      <c r="N344" s="115">
        <f>SUM(J344:K344)</f>
        <v>5</v>
      </c>
      <c r="O344" s="115">
        <f>SUM(L344:M344)</f>
        <v>0</v>
      </c>
      <c r="P344" s="178" t="s">
        <v>30</v>
      </c>
      <c r="Q344" s="178" t="s">
        <v>554</v>
      </c>
    </row>
    <row r="345" spans="1:17" ht="15.75" customHeight="1">
      <c r="A345" s="13" t="s">
        <v>25</v>
      </c>
      <c r="B345" s="13" t="s">
        <v>26</v>
      </c>
      <c r="C345" s="13" t="s">
        <v>9</v>
      </c>
      <c r="D345" s="70" t="s">
        <v>549</v>
      </c>
      <c r="E345" s="70" t="s">
        <v>556</v>
      </c>
      <c r="F345" s="70" t="s">
        <v>60</v>
      </c>
      <c r="G345" s="17">
        <v>75000</v>
      </c>
      <c r="H345" s="66">
        <v>45812</v>
      </c>
      <c r="I345" s="115" t="str">
        <f>IF(N345&gt;1,"group","individual")</f>
        <v>individual</v>
      </c>
      <c r="J345" s="70"/>
      <c r="K345" s="69">
        <v>1</v>
      </c>
      <c r="L345" s="118"/>
      <c r="M345" s="118"/>
      <c r="N345" s="115">
        <f>SUM(J345:K345)</f>
        <v>1</v>
      </c>
      <c r="O345" s="115">
        <f>SUM(L345:M345)</f>
        <v>0</v>
      </c>
      <c r="P345" s="178" t="s">
        <v>30</v>
      </c>
      <c r="Q345" s="189" t="s">
        <v>554</v>
      </c>
    </row>
    <row r="346" spans="1:17" ht="15.75" customHeight="1">
      <c r="A346" s="13" t="s">
        <v>25</v>
      </c>
      <c r="B346" s="13" t="s">
        <v>26</v>
      </c>
      <c r="C346" s="13" t="s">
        <v>9</v>
      </c>
      <c r="D346" s="70" t="s">
        <v>549</v>
      </c>
      <c r="E346" s="70" t="s">
        <v>557</v>
      </c>
      <c r="F346" s="70" t="s">
        <v>60</v>
      </c>
      <c r="G346" s="17">
        <v>225000</v>
      </c>
      <c r="H346" s="66">
        <v>45812</v>
      </c>
      <c r="I346" s="115" t="str">
        <f>IF(N346&gt;1,"group","individual")</f>
        <v>individual</v>
      </c>
      <c r="J346" s="70"/>
      <c r="K346" s="69">
        <v>1</v>
      </c>
      <c r="L346" s="118"/>
      <c r="M346" s="118"/>
      <c r="N346" s="115">
        <f>SUM(J346:K346)</f>
        <v>1</v>
      </c>
      <c r="O346" s="115">
        <f>SUM(L346:M346)</f>
        <v>0</v>
      </c>
      <c r="P346" s="178" t="s">
        <v>30</v>
      </c>
      <c r="Q346" s="189" t="s">
        <v>325</v>
      </c>
    </row>
    <row r="347" spans="1:17" ht="15.75" customHeight="1">
      <c r="A347" s="13" t="s">
        <v>25</v>
      </c>
      <c r="B347" s="13" t="s">
        <v>26</v>
      </c>
      <c r="C347" s="13" t="s">
        <v>9</v>
      </c>
      <c r="D347" s="70" t="s">
        <v>549</v>
      </c>
      <c r="E347" s="70" t="s">
        <v>558</v>
      </c>
      <c r="F347" s="70" t="s">
        <v>186</v>
      </c>
      <c r="G347" s="17">
        <v>225000</v>
      </c>
      <c r="H347" s="18">
        <v>45820</v>
      </c>
      <c r="I347" s="115" t="str">
        <f>IF(N347&gt;1,"group","individual")</f>
        <v>group</v>
      </c>
      <c r="J347" s="70"/>
      <c r="K347" s="69">
        <v>4</v>
      </c>
      <c r="L347" s="118"/>
      <c r="M347" s="118"/>
      <c r="N347" s="115">
        <f>SUM(J347:K347)</f>
        <v>4</v>
      </c>
      <c r="O347" s="115">
        <f>SUM(L347:M347)</f>
        <v>0</v>
      </c>
      <c r="P347" s="178" t="s">
        <v>30</v>
      </c>
      <c r="Q347" s="189" t="s">
        <v>325</v>
      </c>
    </row>
    <row r="348" spans="1:17" ht="15.75" customHeight="1">
      <c r="A348" s="13" t="s">
        <v>25</v>
      </c>
      <c r="B348" s="13" t="s">
        <v>26</v>
      </c>
      <c r="C348" s="13" t="s">
        <v>9</v>
      </c>
      <c r="D348" s="70" t="s">
        <v>549</v>
      </c>
      <c r="E348" s="70" t="s">
        <v>559</v>
      </c>
      <c r="F348" s="70" t="s">
        <v>76</v>
      </c>
      <c r="G348" s="17">
        <v>75000</v>
      </c>
      <c r="H348" s="18">
        <v>45820</v>
      </c>
      <c r="I348" s="115" t="str">
        <f>IF(N348&gt;1,"group","individual")</f>
        <v>individual</v>
      </c>
      <c r="J348" s="70"/>
      <c r="K348" s="69">
        <v>1</v>
      </c>
      <c r="L348" s="118"/>
      <c r="M348" s="118"/>
      <c r="N348" s="115">
        <f>SUM(J348:K348)</f>
        <v>1</v>
      </c>
      <c r="O348" s="115">
        <f>SUM(L348:M348)</f>
        <v>0</v>
      </c>
      <c r="P348" s="178" t="s">
        <v>30</v>
      </c>
      <c r="Q348" s="189" t="s">
        <v>473</v>
      </c>
    </row>
    <row r="349" spans="1:17" ht="15.75" customHeight="1">
      <c r="A349" s="13" t="s">
        <v>25</v>
      </c>
      <c r="B349" s="13" t="s">
        <v>26</v>
      </c>
      <c r="C349" s="13" t="s">
        <v>9</v>
      </c>
      <c r="D349" s="70" t="s">
        <v>549</v>
      </c>
      <c r="E349" s="70" t="s">
        <v>560</v>
      </c>
      <c r="F349" s="70" t="s">
        <v>37</v>
      </c>
      <c r="G349" s="17">
        <v>75000</v>
      </c>
      <c r="H349" s="18">
        <v>45820</v>
      </c>
      <c r="I349" s="115" t="str">
        <f>IF(N349&gt;1,"group","individual")</f>
        <v>individual</v>
      </c>
      <c r="J349" s="69">
        <v>1</v>
      </c>
      <c r="K349" s="70"/>
      <c r="L349" s="118"/>
      <c r="M349" s="118"/>
      <c r="N349" s="115">
        <f>SUM(J349:K349)</f>
        <v>1</v>
      </c>
      <c r="O349" s="115">
        <f>SUM(L349:M349)</f>
        <v>0</v>
      </c>
      <c r="P349" s="181" t="s">
        <v>183</v>
      </c>
      <c r="Q349" s="189" t="s">
        <v>506</v>
      </c>
    </row>
    <row r="350" spans="1:17" ht="15.75" customHeight="1">
      <c r="A350" s="13" t="s">
        <v>25</v>
      </c>
      <c r="B350" s="13" t="s">
        <v>26</v>
      </c>
      <c r="C350" s="13" t="s">
        <v>9</v>
      </c>
      <c r="D350" s="70" t="s">
        <v>549</v>
      </c>
      <c r="E350" s="70" t="s">
        <v>561</v>
      </c>
      <c r="F350" s="70" t="s">
        <v>562</v>
      </c>
      <c r="G350" s="17">
        <v>225000</v>
      </c>
      <c r="H350" s="18">
        <v>45820</v>
      </c>
      <c r="I350" s="115" t="str">
        <f>IF(N350&gt;1,"group","individual")</f>
        <v>individual</v>
      </c>
      <c r="J350" s="69">
        <v>1</v>
      </c>
      <c r="K350" s="70"/>
      <c r="L350" s="118"/>
      <c r="M350" s="118"/>
      <c r="N350" s="115">
        <f>SUM(J350:K350)</f>
        <v>1</v>
      </c>
      <c r="O350" s="115">
        <f>SUM(L350:M350)</f>
        <v>0</v>
      </c>
      <c r="P350" s="178" t="s">
        <v>30</v>
      </c>
      <c r="Q350" s="189" t="s">
        <v>473</v>
      </c>
    </row>
    <row r="351" spans="1:17" ht="15.75" customHeight="1">
      <c r="A351" s="13" t="s">
        <v>25</v>
      </c>
      <c r="B351" s="13" t="s">
        <v>26</v>
      </c>
      <c r="C351" s="13" t="s">
        <v>9</v>
      </c>
      <c r="D351" s="70" t="s">
        <v>549</v>
      </c>
      <c r="E351" s="70" t="s">
        <v>563</v>
      </c>
      <c r="F351" s="70" t="s">
        <v>76</v>
      </c>
      <c r="G351" s="17">
        <v>225000</v>
      </c>
      <c r="H351" s="18">
        <v>45820</v>
      </c>
      <c r="I351" s="115" t="str">
        <f>IF(N351&gt;1,"group","individual")</f>
        <v>individual</v>
      </c>
      <c r="J351" s="70"/>
      <c r="K351" s="69">
        <v>1</v>
      </c>
      <c r="L351" s="118"/>
      <c r="M351" s="118"/>
      <c r="N351" s="115">
        <f>SUM(J351:K351)</f>
        <v>1</v>
      </c>
      <c r="O351" s="115">
        <f>SUM(L351:M351)</f>
        <v>0</v>
      </c>
      <c r="P351" s="178" t="s">
        <v>30</v>
      </c>
      <c r="Q351" s="189" t="s">
        <v>473</v>
      </c>
    </row>
    <row r="352" spans="1:17" ht="15.75" customHeight="1">
      <c r="A352" s="13" t="s">
        <v>25</v>
      </c>
      <c r="B352" s="13" t="s">
        <v>26</v>
      </c>
      <c r="C352" s="13" t="s">
        <v>9</v>
      </c>
      <c r="D352" s="70" t="s">
        <v>549</v>
      </c>
      <c r="E352" s="70" t="s">
        <v>564</v>
      </c>
      <c r="F352" s="70" t="s">
        <v>457</v>
      </c>
      <c r="G352" s="17">
        <v>225000</v>
      </c>
      <c r="H352" s="18">
        <v>45820</v>
      </c>
      <c r="I352" s="115" t="str">
        <f>IF(N352&gt;1,"group","individual")</f>
        <v>individual</v>
      </c>
      <c r="J352" s="69">
        <v>1</v>
      </c>
      <c r="K352" s="70"/>
      <c r="L352" s="118"/>
      <c r="M352" s="118"/>
      <c r="N352" s="115">
        <f>SUM(J352:K352)</f>
        <v>1</v>
      </c>
      <c r="O352" s="115">
        <f>SUM(L352:M352)</f>
        <v>0</v>
      </c>
      <c r="P352" s="178" t="s">
        <v>30</v>
      </c>
      <c r="Q352" s="178" t="s">
        <v>130</v>
      </c>
    </row>
    <row r="353" spans="1:17" ht="15.75" customHeight="1">
      <c r="A353" s="13" t="s">
        <v>25</v>
      </c>
      <c r="B353" s="13" t="s">
        <v>26</v>
      </c>
      <c r="C353" s="13" t="s">
        <v>9</v>
      </c>
      <c r="D353" s="70" t="s">
        <v>549</v>
      </c>
      <c r="E353" s="70" t="s">
        <v>565</v>
      </c>
      <c r="F353" s="70" t="s">
        <v>76</v>
      </c>
      <c r="G353" s="17">
        <v>75000</v>
      </c>
      <c r="H353" s="18">
        <v>45826</v>
      </c>
      <c r="I353" s="115" t="str">
        <f>IF(N353&gt;1,"group","individual")</f>
        <v>individual</v>
      </c>
      <c r="J353" s="70"/>
      <c r="K353" s="69">
        <v>1</v>
      </c>
      <c r="L353" s="118"/>
      <c r="M353" s="118"/>
      <c r="N353" s="115">
        <f>SUM(J353:K353)</f>
        <v>1</v>
      </c>
      <c r="O353" s="115">
        <f>SUM(L353:M353)</f>
        <v>0</v>
      </c>
      <c r="P353" s="178" t="s">
        <v>30</v>
      </c>
      <c r="Q353" s="178" t="s">
        <v>130</v>
      </c>
    </row>
    <row r="354" spans="1:17" ht="15.75" customHeight="1">
      <c r="A354" s="118" t="s">
        <v>25</v>
      </c>
      <c r="B354" s="118" t="s">
        <v>26</v>
      </c>
      <c r="C354" s="118" t="s">
        <v>9</v>
      </c>
      <c r="D354" s="70" t="s">
        <v>549</v>
      </c>
      <c r="E354" s="70" t="s">
        <v>566</v>
      </c>
      <c r="F354" s="70" t="s">
        <v>567</v>
      </c>
      <c r="G354" s="17">
        <v>225000</v>
      </c>
      <c r="H354" s="18">
        <v>45826</v>
      </c>
      <c r="I354" s="115" t="str">
        <f>IF(N354&gt;1,"group","individual")</f>
        <v>group</v>
      </c>
      <c r="J354" s="69">
        <v>2</v>
      </c>
      <c r="K354" s="69">
        <v>3</v>
      </c>
      <c r="L354" s="118"/>
      <c r="M354" s="118"/>
      <c r="N354" s="115">
        <f>SUM(J354:K354)</f>
        <v>5</v>
      </c>
      <c r="O354" s="115">
        <f>SUM(L354:M354)</f>
        <v>0</v>
      </c>
      <c r="P354" s="178" t="s">
        <v>30</v>
      </c>
      <c r="Q354" s="178" t="s">
        <v>248</v>
      </c>
    </row>
    <row r="355" spans="1:17" ht="15.75" customHeight="1">
      <c r="A355" s="118" t="s">
        <v>25</v>
      </c>
      <c r="B355" s="118" t="s">
        <v>26</v>
      </c>
      <c r="C355" s="118" t="s">
        <v>9</v>
      </c>
      <c r="D355" s="70" t="s">
        <v>549</v>
      </c>
      <c r="E355" s="70" t="s">
        <v>568</v>
      </c>
      <c r="F355" s="70" t="s">
        <v>569</v>
      </c>
      <c r="G355" s="17">
        <v>225000</v>
      </c>
      <c r="H355" s="18">
        <v>45833</v>
      </c>
      <c r="I355" s="115" t="str">
        <f>IF(N355&gt;1,"group","individual")</f>
        <v>group</v>
      </c>
      <c r="J355" s="69">
        <v>1</v>
      </c>
      <c r="K355" s="69">
        <v>4</v>
      </c>
      <c r="L355" s="118"/>
      <c r="M355" s="118"/>
      <c r="N355" s="115">
        <f>SUM(J355:K355)</f>
        <v>5</v>
      </c>
      <c r="O355" s="115">
        <f>SUM(L355:M355)</f>
        <v>0</v>
      </c>
      <c r="P355" s="175" t="s">
        <v>30</v>
      </c>
      <c r="Q355" s="178" t="s">
        <v>482</v>
      </c>
    </row>
    <row r="356" spans="1:17" ht="15.75" customHeight="1">
      <c r="A356" s="118" t="s">
        <v>25</v>
      </c>
      <c r="B356" s="118" t="s">
        <v>26</v>
      </c>
      <c r="C356" s="118" t="s">
        <v>9</v>
      </c>
      <c r="D356" s="70" t="s">
        <v>549</v>
      </c>
      <c r="E356" s="70" t="s">
        <v>570</v>
      </c>
      <c r="F356" s="70" t="s">
        <v>76</v>
      </c>
      <c r="G356" s="17">
        <v>225000</v>
      </c>
      <c r="H356" s="150" t="s">
        <v>571</v>
      </c>
      <c r="I356" s="115" t="str">
        <f>IF(N356&gt;1,"group","individual")</f>
        <v>individual</v>
      </c>
      <c r="J356" s="69">
        <v>1</v>
      </c>
      <c r="K356" s="70"/>
      <c r="L356" s="118"/>
      <c r="M356" s="118"/>
      <c r="N356" s="115">
        <f>SUM(J356:K356)</f>
        <v>1</v>
      </c>
      <c r="O356" s="115">
        <f>SUM(L356:M356)</f>
        <v>0</v>
      </c>
      <c r="P356" s="175" t="s">
        <v>30</v>
      </c>
      <c r="Q356" s="178" t="s">
        <v>572</v>
      </c>
    </row>
    <row r="357" spans="1:17" ht="15.75" customHeight="1">
      <c r="A357" s="118" t="s">
        <v>25</v>
      </c>
      <c r="B357" s="118" t="s">
        <v>26</v>
      </c>
      <c r="C357" s="118" t="s">
        <v>9</v>
      </c>
      <c r="D357" s="70" t="s">
        <v>549</v>
      </c>
      <c r="E357" s="70" t="s">
        <v>573</v>
      </c>
      <c r="F357" s="70" t="s">
        <v>76</v>
      </c>
      <c r="G357" s="17">
        <v>75000</v>
      </c>
      <c r="H357" s="150" t="s">
        <v>571</v>
      </c>
      <c r="I357" s="115" t="str">
        <f>IF(N357&gt;1,"group","individual")</f>
        <v>individual</v>
      </c>
      <c r="J357" s="70"/>
      <c r="K357" s="69">
        <v>1</v>
      </c>
      <c r="L357" s="118"/>
      <c r="M357" s="118"/>
      <c r="N357" s="115">
        <f>SUM(J357:K357)</f>
        <v>1</v>
      </c>
      <c r="O357" s="115">
        <f>SUM(L357:M357)</f>
        <v>0</v>
      </c>
      <c r="P357" s="175" t="s">
        <v>30</v>
      </c>
      <c r="Q357" s="178" t="s">
        <v>574</v>
      </c>
    </row>
    <row r="358" spans="1:17" ht="15.75" customHeight="1">
      <c r="A358" s="118" t="s">
        <v>25</v>
      </c>
      <c r="B358" s="118" t="s">
        <v>26</v>
      </c>
      <c r="C358" s="118" t="s">
        <v>9</v>
      </c>
      <c r="D358" s="70" t="s">
        <v>549</v>
      </c>
      <c r="E358" s="70" t="s">
        <v>575</v>
      </c>
      <c r="F358" s="70" t="s">
        <v>76</v>
      </c>
      <c r="G358" s="17">
        <v>75000</v>
      </c>
      <c r="H358" s="150" t="s">
        <v>383</v>
      </c>
      <c r="I358" s="115" t="str">
        <f>IF(N358&gt;1,"group","individual")</f>
        <v>individual</v>
      </c>
      <c r="J358" s="70"/>
      <c r="K358" s="69">
        <v>1</v>
      </c>
      <c r="L358" s="118"/>
      <c r="M358" s="118"/>
      <c r="N358" s="115">
        <f>SUM(J358:K358)</f>
        <v>1</v>
      </c>
      <c r="O358" s="115">
        <f>SUM(L358:M358)</f>
        <v>0</v>
      </c>
      <c r="P358" s="175" t="s">
        <v>30</v>
      </c>
      <c r="Q358" s="178" t="s">
        <v>574</v>
      </c>
    </row>
    <row r="359" spans="1:17" ht="15.75" customHeight="1">
      <c r="A359" s="13" t="s">
        <v>25</v>
      </c>
      <c r="B359" s="13" t="s">
        <v>26</v>
      </c>
      <c r="C359" s="13" t="s">
        <v>9</v>
      </c>
      <c r="D359" s="70" t="s">
        <v>549</v>
      </c>
      <c r="E359" s="70" t="s">
        <v>576</v>
      </c>
      <c r="F359" s="70" t="s">
        <v>76</v>
      </c>
      <c r="G359" s="162">
        <v>75000</v>
      </c>
      <c r="H359" s="20" t="s">
        <v>482</v>
      </c>
      <c r="I359" s="115" t="str">
        <f>IF(N359&gt;1,"group","individual")</f>
        <v>individual</v>
      </c>
      <c r="J359" s="70"/>
      <c r="K359" s="69">
        <v>1</v>
      </c>
      <c r="L359" s="118"/>
      <c r="M359" s="118"/>
      <c r="N359" s="115">
        <f>SUM(J359:K359)</f>
        <v>1</v>
      </c>
      <c r="O359" s="115">
        <f>SUM(L359:M359)</f>
        <v>0</v>
      </c>
      <c r="P359" s="175" t="s">
        <v>30</v>
      </c>
      <c r="Q359" s="178" t="s">
        <v>574</v>
      </c>
    </row>
    <row r="360" spans="1:17" ht="15.75" customHeight="1">
      <c r="A360" s="13" t="s">
        <v>25</v>
      </c>
      <c r="B360" s="13" t="s">
        <v>26</v>
      </c>
      <c r="C360" s="13" t="s">
        <v>9</v>
      </c>
      <c r="D360" s="70" t="s">
        <v>549</v>
      </c>
      <c r="E360" s="70" t="s">
        <v>577</v>
      </c>
      <c r="F360" s="70" t="s">
        <v>76</v>
      </c>
      <c r="G360" s="162">
        <v>225000</v>
      </c>
      <c r="H360" s="20" t="s">
        <v>578</v>
      </c>
      <c r="I360" s="115" t="str">
        <f>IF(N360&gt;1,"group","individual")</f>
        <v>individual</v>
      </c>
      <c r="J360" s="70"/>
      <c r="K360" s="69">
        <v>1</v>
      </c>
      <c r="L360" s="118"/>
      <c r="M360" s="118"/>
      <c r="N360" s="115">
        <f>SUM(J360:K360)</f>
        <v>1</v>
      </c>
      <c r="O360" s="115">
        <f>SUM(L360:M360)</f>
        <v>0</v>
      </c>
      <c r="P360" s="175" t="s">
        <v>30</v>
      </c>
      <c r="Q360" s="178" t="s">
        <v>574</v>
      </c>
    </row>
    <row r="361" spans="1:17" ht="15.75" customHeight="1">
      <c r="A361" s="13" t="s">
        <v>25</v>
      </c>
      <c r="B361" s="13" t="s">
        <v>26</v>
      </c>
      <c r="C361" s="13" t="s">
        <v>9</v>
      </c>
      <c r="D361" s="101" t="s">
        <v>549</v>
      </c>
      <c r="E361" s="70" t="s">
        <v>579</v>
      </c>
      <c r="F361" s="70" t="s">
        <v>186</v>
      </c>
      <c r="G361" s="17">
        <v>75000</v>
      </c>
      <c r="H361" s="20" t="s">
        <v>578</v>
      </c>
      <c r="I361" s="115" t="str">
        <f>IF(N361&gt;1,"group","individual")</f>
        <v>individual</v>
      </c>
      <c r="J361" s="70"/>
      <c r="K361" s="69">
        <v>1</v>
      </c>
      <c r="L361" s="118"/>
      <c r="M361" s="118"/>
      <c r="N361" s="115">
        <f>SUM(J361:K361)</f>
        <v>1</v>
      </c>
      <c r="O361" s="115">
        <f>SUM(L361:M361)</f>
        <v>0</v>
      </c>
      <c r="P361" s="175" t="s">
        <v>30</v>
      </c>
      <c r="Q361" s="178" t="s">
        <v>574</v>
      </c>
    </row>
    <row r="362" spans="1:17" ht="15.75" customHeight="1">
      <c r="A362" s="13" t="s">
        <v>25</v>
      </c>
      <c r="B362" s="13" t="s">
        <v>26</v>
      </c>
      <c r="C362" s="13" t="s">
        <v>9</v>
      </c>
      <c r="D362" s="70" t="s">
        <v>549</v>
      </c>
      <c r="E362" s="70" t="s">
        <v>580</v>
      </c>
      <c r="F362" s="70" t="s">
        <v>581</v>
      </c>
      <c r="G362" s="17">
        <v>75000</v>
      </c>
      <c r="H362" s="150" t="s">
        <v>146</v>
      </c>
      <c r="I362" s="115" t="str">
        <f>IF(N362&gt;1,"group","individual")</f>
        <v>individual</v>
      </c>
      <c r="J362" s="70"/>
      <c r="K362" s="69">
        <v>1</v>
      </c>
      <c r="L362" s="118"/>
      <c r="M362" s="118"/>
      <c r="N362" s="115">
        <f>SUM(J362:K362)</f>
        <v>1</v>
      </c>
      <c r="O362" s="115">
        <f>SUM(L362:M362)</f>
        <v>0</v>
      </c>
      <c r="P362" s="175" t="s">
        <v>30</v>
      </c>
      <c r="Q362" s="178" t="s">
        <v>103</v>
      </c>
    </row>
    <row r="363" spans="1:17" ht="15.75" customHeight="1">
      <c r="A363" s="44" t="s">
        <v>25</v>
      </c>
      <c r="B363" s="44" t="s">
        <v>26</v>
      </c>
      <c r="C363" s="44" t="s">
        <v>9</v>
      </c>
      <c r="D363" s="70" t="s">
        <v>549</v>
      </c>
      <c r="E363" s="70" t="s">
        <v>582</v>
      </c>
      <c r="F363" s="70" t="s">
        <v>583</v>
      </c>
      <c r="G363" s="17">
        <v>75000</v>
      </c>
      <c r="H363" s="150" t="s">
        <v>146</v>
      </c>
      <c r="I363" s="115" t="str">
        <f>IF(N363&gt;1,"group","individual")</f>
        <v>individual</v>
      </c>
      <c r="J363" s="69">
        <v>1</v>
      </c>
      <c r="K363" s="70"/>
      <c r="L363" s="118"/>
      <c r="M363" s="118"/>
      <c r="N363" s="115">
        <f>SUM(J363:K363)</f>
        <v>1</v>
      </c>
      <c r="O363" s="115">
        <f>SUM(L363:M363)</f>
        <v>0</v>
      </c>
      <c r="P363" s="175" t="s">
        <v>30</v>
      </c>
      <c r="Q363" s="178" t="s">
        <v>103</v>
      </c>
    </row>
    <row r="364" spans="1:17" ht="15.75" customHeight="1">
      <c r="A364" s="118" t="s">
        <v>25</v>
      </c>
      <c r="B364" s="118" t="s">
        <v>26</v>
      </c>
      <c r="C364" s="118" t="s">
        <v>9</v>
      </c>
      <c r="D364" s="70" t="s">
        <v>584</v>
      </c>
      <c r="E364" s="70" t="s">
        <v>585</v>
      </c>
      <c r="F364" s="70" t="s">
        <v>586</v>
      </c>
      <c r="G364" s="17">
        <v>225000</v>
      </c>
      <c r="H364" s="18">
        <v>45792</v>
      </c>
      <c r="I364" s="115" t="str">
        <f>IF(N364&gt;1,"group","individual")</f>
        <v>individual</v>
      </c>
      <c r="J364" s="70"/>
      <c r="K364" s="69">
        <v>1</v>
      </c>
      <c r="L364" s="118"/>
      <c r="M364" s="118"/>
      <c r="N364" s="115">
        <f>SUM(J364:K364)</f>
        <v>1</v>
      </c>
      <c r="O364" s="115">
        <f>SUM(L364:M364)</f>
        <v>0</v>
      </c>
      <c r="P364" s="175" t="s">
        <v>30</v>
      </c>
      <c r="Q364" s="178" t="s">
        <v>103</v>
      </c>
    </row>
    <row r="365" spans="1:17" ht="15.75" customHeight="1">
      <c r="A365" s="118" t="s">
        <v>25</v>
      </c>
      <c r="B365" s="118" t="s">
        <v>26</v>
      </c>
      <c r="C365" s="118" t="s">
        <v>9</v>
      </c>
      <c r="D365" s="70" t="s">
        <v>584</v>
      </c>
      <c r="E365" s="70" t="s">
        <v>587</v>
      </c>
      <c r="F365" s="70" t="s">
        <v>76</v>
      </c>
      <c r="G365" s="17">
        <v>75000</v>
      </c>
      <c r="H365" s="18">
        <v>45785</v>
      </c>
      <c r="I365" s="115" t="str">
        <f>IF(N365&gt;1,"group","individual")</f>
        <v>individual</v>
      </c>
      <c r="J365" s="69">
        <v>1</v>
      </c>
      <c r="K365" s="70"/>
      <c r="L365" s="118"/>
      <c r="M365" s="118"/>
      <c r="N365" s="115">
        <f>SUM(J365:K365)</f>
        <v>1</v>
      </c>
      <c r="O365" s="115">
        <f>SUM(L365:M365)</f>
        <v>0</v>
      </c>
      <c r="P365" s="181" t="s">
        <v>183</v>
      </c>
      <c r="Q365" s="191" t="s">
        <v>588</v>
      </c>
    </row>
    <row r="366" spans="1:17" ht="15.75" customHeight="1">
      <c r="A366" s="153" t="s">
        <v>25</v>
      </c>
      <c r="B366" s="113" t="s">
        <v>26</v>
      </c>
      <c r="C366" s="111" t="s">
        <v>9</v>
      </c>
      <c r="D366" s="63" t="s">
        <v>584</v>
      </c>
      <c r="E366" s="63" t="s">
        <v>589</v>
      </c>
      <c r="F366" s="63" t="s">
        <v>76</v>
      </c>
      <c r="G366" s="65">
        <v>75000</v>
      </c>
      <c r="H366" s="114">
        <v>45785</v>
      </c>
      <c r="I366" s="115" t="str">
        <f>IF(N366&gt;1,"group","individual")</f>
        <v>individual</v>
      </c>
      <c r="J366" s="170">
        <v>1</v>
      </c>
      <c r="K366" s="63"/>
      <c r="L366" s="113"/>
      <c r="M366" s="111"/>
      <c r="N366" s="115">
        <f>SUM(J366:K366)</f>
        <v>1</v>
      </c>
      <c r="O366" s="115">
        <f>SUM(L366:M366)</f>
        <v>0</v>
      </c>
      <c r="P366" s="175" t="s">
        <v>30</v>
      </c>
      <c r="Q366" s="178" t="s">
        <v>139</v>
      </c>
    </row>
    <row r="367" spans="1:17" ht="15.75" customHeight="1">
      <c r="A367" s="154" t="s">
        <v>25</v>
      </c>
      <c r="B367" s="156" t="s">
        <v>26</v>
      </c>
      <c r="C367" s="156" t="s">
        <v>9</v>
      </c>
      <c r="D367" s="158" t="s">
        <v>584</v>
      </c>
      <c r="E367" s="160" t="s">
        <v>590</v>
      </c>
      <c r="F367" s="160" t="s">
        <v>196</v>
      </c>
      <c r="G367" s="163">
        <v>225000</v>
      </c>
      <c r="H367" s="167">
        <v>45785</v>
      </c>
      <c r="I367" s="115" t="str">
        <f>IF(N367&gt;1,"group","individual")</f>
        <v>individual</v>
      </c>
      <c r="J367" s="171"/>
      <c r="K367" s="172">
        <v>1</v>
      </c>
      <c r="L367" s="154"/>
      <c r="M367" s="156"/>
      <c r="N367" s="115">
        <f>SUM(J367:K367)</f>
        <v>1</v>
      </c>
      <c r="O367" s="115">
        <f>SUM(L367:M367)</f>
        <v>0</v>
      </c>
      <c r="P367" s="175" t="s">
        <v>30</v>
      </c>
      <c r="Q367" s="178" t="s">
        <v>109</v>
      </c>
    </row>
    <row r="368" spans="1:17" ht="15.75" customHeight="1">
      <c r="A368" s="118" t="s">
        <v>25</v>
      </c>
      <c r="B368" s="118" t="s">
        <v>26</v>
      </c>
      <c r="C368" s="118" t="s">
        <v>9</v>
      </c>
      <c r="D368" s="70" t="s">
        <v>584</v>
      </c>
      <c r="E368" s="108" t="s">
        <v>591</v>
      </c>
      <c r="F368" s="108" t="s">
        <v>393</v>
      </c>
      <c r="G368" s="107">
        <v>225000</v>
      </c>
      <c r="H368" s="110">
        <v>45812</v>
      </c>
      <c r="I368" s="115" t="str">
        <f>IF(N368&gt;1,"group","individual")</f>
        <v>group</v>
      </c>
      <c r="J368" s="108"/>
      <c r="K368" s="109">
        <v>4</v>
      </c>
      <c r="L368" s="118"/>
      <c r="M368" s="118"/>
      <c r="N368" s="115">
        <f>SUM(J368:K368)</f>
        <v>4</v>
      </c>
      <c r="O368" s="115">
        <f>SUM(L368:M368)</f>
        <v>0</v>
      </c>
      <c r="P368" s="175" t="s">
        <v>30</v>
      </c>
      <c r="Q368" s="178" t="s">
        <v>139</v>
      </c>
    </row>
    <row r="369" spans="1:18" ht="15.75" customHeight="1">
      <c r="A369" s="118" t="s">
        <v>25</v>
      </c>
      <c r="B369" s="118" t="s">
        <v>26</v>
      </c>
      <c r="C369" s="118" t="s">
        <v>9</v>
      </c>
      <c r="D369" s="70" t="s">
        <v>584</v>
      </c>
      <c r="E369" s="108" t="s">
        <v>592</v>
      </c>
      <c r="F369" s="108" t="s">
        <v>76</v>
      </c>
      <c r="G369" s="107">
        <v>225000</v>
      </c>
      <c r="H369" s="110">
        <v>45812</v>
      </c>
      <c r="I369" s="115" t="str">
        <f>IF(N369&gt;1,"group","individual")</f>
        <v>individual</v>
      </c>
      <c r="J369" s="108"/>
      <c r="K369" s="109">
        <v>1</v>
      </c>
      <c r="L369" s="118"/>
      <c r="M369" s="118"/>
      <c r="N369" s="115">
        <f>SUM(J369:K369)</f>
        <v>1</v>
      </c>
      <c r="O369" s="115">
        <f>SUM(L369:M369)</f>
        <v>0</v>
      </c>
      <c r="P369" s="175" t="s">
        <v>30</v>
      </c>
      <c r="Q369" s="178" t="s">
        <v>139</v>
      </c>
    </row>
    <row r="370" spans="1:18" ht="15.75" customHeight="1">
      <c r="A370" s="118" t="s">
        <v>25</v>
      </c>
      <c r="B370" s="118" t="s">
        <v>26</v>
      </c>
      <c r="C370" s="118" t="s">
        <v>9</v>
      </c>
      <c r="D370" s="70" t="s">
        <v>584</v>
      </c>
      <c r="E370" s="108" t="s">
        <v>593</v>
      </c>
      <c r="F370" s="108" t="s">
        <v>294</v>
      </c>
      <c r="G370" s="107">
        <v>225000</v>
      </c>
      <c r="H370" s="110">
        <v>45812</v>
      </c>
      <c r="I370" s="115" t="str">
        <f>IF(N370&gt;1,"group","individual")</f>
        <v>group</v>
      </c>
      <c r="J370" s="108"/>
      <c r="K370" s="109">
        <v>3</v>
      </c>
      <c r="L370" s="118"/>
      <c r="M370" s="118"/>
      <c r="N370" s="115">
        <f>SUM(J370:K370)</f>
        <v>3</v>
      </c>
      <c r="O370" s="115">
        <f>SUM(L370:M370)</f>
        <v>0</v>
      </c>
      <c r="P370" s="175" t="s">
        <v>30</v>
      </c>
      <c r="Q370" s="178" t="s">
        <v>139</v>
      </c>
    </row>
    <row r="371" spans="1:18" ht="15.75" customHeight="1">
      <c r="A371" s="118" t="s">
        <v>25</v>
      </c>
      <c r="B371" s="118" t="s">
        <v>26</v>
      </c>
      <c r="C371" s="118" t="s">
        <v>9</v>
      </c>
      <c r="D371" s="70" t="s">
        <v>584</v>
      </c>
      <c r="E371" s="108" t="s">
        <v>594</v>
      </c>
      <c r="F371" s="108" t="s">
        <v>457</v>
      </c>
      <c r="G371" s="107">
        <v>225000</v>
      </c>
      <c r="H371" s="110">
        <v>45812</v>
      </c>
      <c r="I371" s="115" t="str">
        <f>IF(N371&gt;1,"group","individual")</f>
        <v>group</v>
      </c>
      <c r="J371" s="108"/>
      <c r="K371" s="109">
        <v>4</v>
      </c>
      <c r="L371" s="118"/>
      <c r="M371" s="118"/>
      <c r="N371" s="115">
        <f>SUM(J371:K371)</f>
        <v>4</v>
      </c>
      <c r="O371" s="115">
        <f>SUM(L371:M371)</f>
        <v>0</v>
      </c>
      <c r="P371" s="149" t="s">
        <v>30</v>
      </c>
      <c r="Q371" s="145" t="s">
        <v>139</v>
      </c>
      <c r="R371" s="177"/>
    </row>
    <row r="372" spans="1:18" ht="15.75" customHeight="1">
      <c r="A372" s="118" t="s">
        <v>25</v>
      </c>
      <c r="B372" s="118" t="s">
        <v>26</v>
      </c>
      <c r="C372" s="118" t="s">
        <v>9</v>
      </c>
      <c r="D372" s="70" t="s">
        <v>584</v>
      </c>
      <c r="E372" s="108" t="s">
        <v>595</v>
      </c>
      <c r="F372" s="108" t="s">
        <v>583</v>
      </c>
      <c r="G372" s="107">
        <v>225000</v>
      </c>
      <c r="H372" s="110">
        <v>45812</v>
      </c>
      <c r="I372" s="115" t="str">
        <f>IF(N372&gt;1,"group","individual")</f>
        <v>group</v>
      </c>
      <c r="J372" s="109">
        <v>2</v>
      </c>
      <c r="K372" s="109">
        <v>2</v>
      </c>
      <c r="L372" s="118"/>
      <c r="M372" s="118"/>
      <c r="N372" s="115">
        <f>SUM(J372:K372)</f>
        <v>4</v>
      </c>
      <c r="O372" s="115">
        <f>SUM(L372:M372)</f>
        <v>0</v>
      </c>
      <c r="P372" s="149" t="s">
        <v>30</v>
      </c>
      <c r="Q372" s="145" t="s">
        <v>109</v>
      </c>
      <c r="R372" s="177"/>
    </row>
    <row r="373" spans="1:18" ht="15.75" customHeight="1">
      <c r="A373" s="118" t="s">
        <v>25</v>
      </c>
      <c r="B373" s="118" t="s">
        <v>26</v>
      </c>
      <c r="C373" s="118" t="s">
        <v>9</v>
      </c>
      <c r="D373" s="70" t="s">
        <v>584</v>
      </c>
      <c r="E373" s="108" t="s">
        <v>596</v>
      </c>
      <c r="F373" s="108" t="s">
        <v>393</v>
      </c>
      <c r="G373" s="107">
        <v>225000</v>
      </c>
      <c r="H373" s="110">
        <v>45812</v>
      </c>
      <c r="I373" s="115" t="str">
        <f>IF(N373&gt;1,"group","individual")</f>
        <v>group</v>
      </c>
      <c r="J373" s="109">
        <v>1</v>
      </c>
      <c r="K373" s="109">
        <v>4</v>
      </c>
      <c r="L373" s="118"/>
      <c r="M373" s="118"/>
      <c r="N373" s="115">
        <f>SUM(J373:K373)</f>
        <v>5</v>
      </c>
      <c r="O373" s="115">
        <f>SUM(L373:M373)</f>
        <v>0</v>
      </c>
      <c r="P373" s="149" t="s">
        <v>30</v>
      </c>
      <c r="Q373" s="145" t="s">
        <v>597</v>
      </c>
      <c r="R373" s="177"/>
    </row>
    <row r="374" spans="1:18" ht="15.75" customHeight="1">
      <c r="A374" s="118" t="s">
        <v>25</v>
      </c>
      <c r="B374" s="118" t="s">
        <v>26</v>
      </c>
      <c r="C374" s="118" t="s">
        <v>9</v>
      </c>
      <c r="D374" s="118" t="s">
        <v>584</v>
      </c>
      <c r="E374" s="118" t="s">
        <v>598</v>
      </c>
      <c r="F374" s="118" t="s">
        <v>76</v>
      </c>
      <c r="G374" s="112">
        <v>225000</v>
      </c>
      <c r="H374" s="18">
        <v>45820</v>
      </c>
      <c r="I374" s="115" t="str">
        <f>IF(N374&gt;1,"group","individual")</f>
        <v>individual</v>
      </c>
      <c r="J374" s="118"/>
      <c r="K374" s="27">
        <v>1</v>
      </c>
      <c r="L374" s="118"/>
      <c r="M374" s="118"/>
      <c r="N374" s="115">
        <f>SUM(J374:K374)</f>
        <v>1</v>
      </c>
      <c r="O374" s="115">
        <f>SUM(L374:M374)</f>
        <v>0</v>
      </c>
      <c r="P374" s="149" t="s">
        <v>30</v>
      </c>
      <c r="Q374" s="145" t="s">
        <v>597</v>
      </c>
      <c r="R374" s="177"/>
    </row>
    <row r="375" spans="1:18" ht="15.75" customHeight="1">
      <c r="A375" s="118" t="s">
        <v>25</v>
      </c>
      <c r="B375" s="118" t="s">
        <v>26</v>
      </c>
      <c r="C375" s="118" t="s">
        <v>9</v>
      </c>
      <c r="D375" s="118" t="s">
        <v>584</v>
      </c>
      <c r="E375" s="118" t="s">
        <v>599</v>
      </c>
      <c r="F375" s="118" t="s">
        <v>76</v>
      </c>
      <c r="G375" s="112">
        <v>225000</v>
      </c>
      <c r="H375" s="18">
        <v>45820</v>
      </c>
      <c r="I375" s="115" t="str">
        <f>IF(N375&gt;1,"group","individual")</f>
        <v>individual</v>
      </c>
      <c r="J375" s="118"/>
      <c r="K375" s="27">
        <v>1</v>
      </c>
      <c r="L375" s="118"/>
      <c r="M375" s="118"/>
      <c r="N375" s="115">
        <f>SUM(J375:K375)</f>
        <v>1</v>
      </c>
      <c r="O375" s="115">
        <f>SUM(L375:M375)</f>
        <v>0</v>
      </c>
      <c r="P375" s="149" t="s">
        <v>30</v>
      </c>
      <c r="Q375" s="145" t="s">
        <v>597</v>
      </c>
      <c r="R375" s="177"/>
    </row>
    <row r="376" spans="1:18" ht="15.75" customHeight="1">
      <c r="A376" s="118" t="s">
        <v>25</v>
      </c>
      <c r="B376" s="118" t="s">
        <v>26</v>
      </c>
      <c r="C376" s="118" t="s">
        <v>9</v>
      </c>
      <c r="D376" s="118" t="s">
        <v>584</v>
      </c>
      <c r="E376" s="118" t="s">
        <v>600</v>
      </c>
      <c r="F376" s="118" t="s">
        <v>76</v>
      </c>
      <c r="G376" s="112">
        <v>225000</v>
      </c>
      <c r="H376" s="18">
        <v>45820</v>
      </c>
      <c r="I376" s="115" t="str">
        <f>IF(N376&gt;1,"group","individual")</f>
        <v>individual</v>
      </c>
      <c r="J376" s="27">
        <v>1</v>
      </c>
      <c r="K376" s="118"/>
      <c r="L376" s="118"/>
      <c r="M376" s="118"/>
      <c r="N376" s="115">
        <f>SUM(J376:K376)</f>
        <v>1</v>
      </c>
      <c r="O376" s="115">
        <f>SUM(L376:M376)</f>
        <v>0</v>
      </c>
      <c r="P376" s="151" t="s">
        <v>30</v>
      </c>
      <c r="Q376" s="146" t="s">
        <v>597</v>
      </c>
      <c r="R376" s="177"/>
    </row>
    <row r="377" spans="1:18" ht="15.75" customHeight="1">
      <c r="A377" s="118" t="s">
        <v>25</v>
      </c>
      <c r="B377" s="118" t="s">
        <v>26</v>
      </c>
      <c r="C377" s="118" t="s">
        <v>9</v>
      </c>
      <c r="D377" s="118" t="s">
        <v>584</v>
      </c>
      <c r="E377" s="118" t="s">
        <v>601</v>
      </c>
      <c r="F377" s="118" t="s">
        <v>602</v>
      </c>
      <c r="G377" s="112">
        <v>225000</v>
      </c>
      <c r="H377" s="18">
        <v>45826</v>
      </c>
      <c r="I377" s="115" t="str">
        <f>IF(N377&gt;1,"group","individual")</f>
        <v>group</v>
      </c>
      <c r="J377" s="27">
        <v>2</v>
      </c>
      <c r="K377" s="27">
        <v>2</v>
      </c>
      <c r="L377" s="118"/>
      <c r="M377" s="118"/>
      <c r="N377" s="115">
        <f>SUM(J377:K377)</f>
        <v>4</v>
      </c>
      <c r="O377" s="115">
        <f>SUM(L377:M377)</f>
        <v>0</v>
      </c>
      <c r="P377" s="151" t="s">
        <v>30</v>
      </c>
      <c r="Q377" s="146" t="s">
        <v>597</v>
      </c>
      <c r="R377" s="177"/>
    </row>
    <row r="378" spans="1:18" ht="15.75" customHeight="1">
      <c r="A378" s="118" t="s">
        <v>25</v>
      </c>
      <c r="B378" s="118" t="s">
        <v>26</v>
      </c>
      <c r="C378" s="118" t="s">
        <v>9</v>
      </c>
      <c r="D378" s="118" t="s">
        <v>584</v>
      </c>
      <c r="E378" s="118" t="s">
        <v>603</v>
      </c>
      <c r="F378" s="118" t="s">
        <v>604</v>
      </c>
      <c r="G378" s="112">
        <v>75000</v>
      </c>
      <c r="H378" s="18">
        <v>45826</v>
      </c>
      <c r="I378" s="115" t="str">
        <f>IF(N378&gt;1,"group","individual")</f>
        <v>individual</v>
      </c>
      <c r="J378" s="118"/>
      <c r="K378" s="27">
        <v>1</v>
      </c>
      <c r="L378" s="118"/>
      <c r="M378" s="118"/>
      <c r="N378" s="115">
        <f>SUM(J378:K378)</f>
        <v>1</v>
      </c>
      <c r="O378" s="115">
        <f>SUM(L378:M378)</f>
        <v>0</v>
      </c>
      <c r="P378" s="151" t="s">
        <v>30</v>
      </c>
      <c r="Q378" s="146" t="s">
        <v>597</v>
      </c>
      <c r="R378" s="177"/>
    </row>
    <row r="379" spans="1:18" ht="15.75" customHeight="1">
      <c r="A379" s="118" t="s">
        <v>25</v>
      </c>
      <c r="B379" s="118" t="s">
        <v>26</v>
      </c>
      <c r="C379" s="118" t="s">
        <v>9</v>
      </c>
      <c r="D379" s="118" t="s">
        <v>584</v>
      </c>
      <c r="E379" s="118" t="s">
        <v>605</v>
      </c>
      <c r="F379" s="118" t="s">
        <v>37</v>
      </c>
      <c r="G379" s="112">
        <v>225000</v>
      </c>
      <c r="H379" s="18">
        <v>45833</v>
      </c>
      <c r="I379" s="115" t="str">
        <f>IF(N379&gt;1,"group","individual")</f>
        <v>individual</v>
      </c>
      <c r="J379" s="118"/>
      <c r="K379" s="27">
        <v>1</v>
      </c>
      <c r="L379" s="118"/>
      <c r="M379" s="118"/>
      <c r="N379" s="115">
        <f>SUM(J379:K379)</f>
        <v>1</v>
      </c>
      <c r="O379" s="115">
        <f>SUM(L379:M379)</f>
        <v>0</v>
      </c>
      <c r="P379" s="151" t="s">
        <v>30</v>
      </c>
      <c r="Q379" s="146" t="s">
        <v>597</v>
      </c>
      <c r="R379" s="177"/>
    </row>
    <row r="380" spans="1:18" ht="15.75" customHeight="1">
      <c r="A380" s="118" t="s">
        <v>25</v>
      </c>
      <c r="B380" s="118" t="s">
        <v>26</v>
      </c>
      <c r="C380" s="118" t="s">
        <v>9</v>
      </c>
      <c r="D380" s="118" t="s">
        <v>584</v>
      </c>
      <c r="E380" s="118" t="s">
        <v>606</v>
      </c>
      <c r="F380" s="118" t="s">
        <v>76</v>
      </c>
      <c r="G380" s="112">
        <v>180000</v>
      </c>
      <c r="H380" s="18">
        <v>45838</v>
      </c>
      <c r="I380" s="115" t="str">
        <f>IF(N380&gt;1,"group","individual")</f>
        <v>individual</v>
      </c>
      <c r="J380" s="27">
        <v>1</v>
      </c>
      <c r="K380" s="118"/>
      <c r="L380" s="118"/>
      <c r="M380" s="118"/>
      <c r="N380" s="115">
        <f>SUM(J380:K380)</f>
        <v>1</v>
      </c>
      <c r="O380" s="115">
        <f>SUM(L380:M380)</f>
        <v>0</v>
      </c>
      <c r="P380" s="151" t="s">
        <v>30</v>
      </c>
      <c r="Q380" s="146" t="s">
        <v>597</v>
      </c>
      <c r="R380" s="177"/>
    </row>
    <row r="381" spans="1:18" ht="15.75" customHeight="1">
      <c r="A381" s="118" t="s">
        <v>25</v>
      </c>
      <c r="B381" s="118" t="s">
        <v>26</v>
      </c>
      <c r="C381" s="118" t="s">
        <v>9</v>
      </c>
      <c r="D381" s="118" t="s">
        <v>584</v>
      </c>
      <c r="E381" s="118" t="s">
        <v>607</v>
      </c>
      <c r="F381" s="118" t="s">
        <v>186</v>
      </c>
      <c r="G381" s="112">
        <v>120000</v>
      </c>
      <c r="H381" s="18">
        <v>45838</v>
      </c>
      <c r="I381" s="115" t="str">
        <f>IF(N381&gt;1,"group","individual")</f>
        <v>individual</v>
      </c>
      <c r="J381" s="27">
        <v>1</v>
      </c>
      <c r="K381" s="118"/>
      <c r="L381" s="118"/>
      <c r="M381" s="118"/>
      <c r="N381" s="115">
        <f>SUM(J381:K381)</f>
        <v>1</v>
      </c>
      <c r="O381" s="115">
        <f>SUM(L381:M381)</f>
        <v>0</v>
      </c>
      <c r="P381" s="147" t="s">
        <v>183</v>
      </c>
      <c r="Q381" s="145" t="s">
        <v>608</v>
      </c>
      <c r="R381" s="177"/>
    </row>
    <row r="382" spans="1:18" ht="15.75" customHeight="1">
      <c r="A382" s="118" t="s">
        <v>25</v>
      </c>
      <c r="B382" s="118" t="s">
        <v>26</v>
      </c>
      <c r="C382" s="118" t="s">
        <v>9</v>
      </c>
      <c r="D382" s="118" t="s">
        <v>584</v>
      </c>
      <c r="E382" s="118" t="s">
        <v>609</v>
      </c>
      <c r="F382" s="118" t="s">
        <v>76</v>
      </c>
      <c r="G382" s="112">
        <v>180000</v>
      </c>
      <c r="H382" s="18">
        <v>45838</v>
      </c>
      <c r="I382" s="115" t="str">
        <f>IF(N382&gt;1,"group","individual")</f>
        <v>individual</v>
      </c>
      <c r="J382" s="27">
        <v>1</v>
      </c>
      <c r="K382" s="118"/>
      <c r="L382" s="118"/>
      <c r="M382" s="118"/>
      <c r="N382" s="115">
        <f>SUM(J382:K382)</f>
        <v>1</v>
      </c>
      <c r="O382" s="115">
        <f>SUM(L382:M382)</f>
        <v>0</v>
      </c>
      <c r="P382" s="149" t="s">
        <v>30</v>
      </c>
      <c r="Q382" s="145" t="s">
        <v>542</v>
      </c>
      <c r="R382" s="177"/>
    </row>
    <row r="383" spans="1:18" ht="15.75" customHeight="1">
      <c r="A383" s="118" t="s">
        <v>25</v>
      </c>
      <c r="B383" s="118" t="s">
        <v>26</v>
      </c>
      <c r="C383" s="118" t="s">
        <v>9</v>
      </c>
      <c r="D383" s="118" t="s">
        <v>584</v>
      </c>
      <c r="E383" s="118" t="s">
        <v>610</v>
      </c>
      <c r="F383" s="118" t="s">
        <v>431</v>
      </c>
      <c r="G383" s="112">
        <v>225000</v>
      </c>
      <c r="H383" s="18">
        <v>45838</v>
      </c>
      <c r="I383" s="115" t="str">
        <f>IF(N383&gt;1,"group","individual")</f>
        <v>individual</v>
      </c>
      <c r="J383" s="27">
        <v>1</v>
      </c>
      <c r="K383" s="118"/>
      <c r="L383" s="118"/>
      <c r="M383" s="118"/>
      <c r="N383" s="115">
        <f>SUM(J383:K383)</f>
        <v>1</v>
      </c>
      <c r="O383" s="115">
        <f>SUM(L383:M383)</f>
        <v>0</v>
      </c>
      <c r="P383" s="149" t="s">
        <v>30</v>
      </c>
      <c r="Q383" s="145" t="s">
        <v>542</v>
      </c>
      <c r="R383" s="177"/>
    </row>
    <row r="384" spans="1:18" ht="15.75" customHeight="1">
      <c r="A384" s="118" t="s">
        <v>25</v>
      </c>
      <c r="B384" s="118" t="s">
        <v>26</v>
      </c>
      <c r="C384" s="118" t="s">
        <v>9</v>
      </c>
      <c r="D384" s="118" t="s">
        <v>584</v>
      </c>
      <c r="E384" s="118" t="s">
        <v>611</v>
      </c>
      <c r="F384" s="118" t="s">
        <v>186</v>
      </c>
      <c r="G384" s="112">
        <v>130000</v>
      </c>
      <c r="H384" s="150" t="s">
        <v>571</v>
      </c>
      <c r="I384" s="115" t="str">
        <f>IF(N384&gt;1,"group","individual")</f>
        <v>individual</v>
      </c>
      <c r="J384" s="118"/>
      <c r="K384" s="27">
        <v>1</v>
      </c>
      <c r="L384" s="118"/>
      <c r="M384" s="118"/>
      <c r="N384" s="115">
        <f>SUM(J384:K384)</f>
        <v>1</v>
      </c>
      <c r="O384" s="115">
        <f>SUM(L384:M384)</f>
        <v>0</v>
      </c>
      <c r="P384" s="152" t="s">
        <v>30</v>
      </c>
      <c r="Q384" s="148" t="s">
        <v>547</v>
      </c>
      <c r="R384" s="177"/>
    </row>
    <row r="385" spans="1:18" ht="15.75" customHeight="1">
      <c r="A385" s="118" t="s">
        <v>25</v>
      </c>
      <c r="B385" s="118" t="s">
        <v>26</v>
      </c>
      <c r="C385" s="118" t="s">
        <v>9</v>
      </c>
      <c r="D385" s="118" t="s">
        <v>584</v>
      </c>
      <c r="E385" s="118" t="s">
        <v>612</v>
      </c>
      <c r="F385" s="118" t="s">
        <v>169</v>
      </c>
      <c r="G385" s="112">
        <v>225000</v>
      </c>
      <c r="H385" s="150" t="s">
        <v>571</v>
      </c>
      <c r="I385" s="115" t="str">
        <f>IF(N385&gt;1,"group","individual")</f>
        <v>individual</v>
      </c>
      <c r="J385" s="118"/>
      <c r="K385" s="27">
        <v>1</v>
      </c>
      <c r="L385" s="118"/>
      <c r="M385" s="118"/>
      <c r="N385" s="115">
        <f>SUM(J385:K385)</f>
        <v>1</v>
      </c>
      <c r="O385" s="115">
        <f>SUM(L385:M385)</f>
        <v>0</v>
      </c>
      <c r="P385" s="152"/>
      <c r="Q385" s="148"/>
      <c r="R385" s="177"/>
    </row>
    <row r="386" spans="1:18" ht="15.75" customHeight="1">
      <c r="A386" s="118" t="s">
        <v>25</v>
      </c>
      <c r="B386" s="118" t="s">
        <v>26</v>
      </c>
      <c r="C386" s="118" t="s">
        <v>9</v>
      </c>
      <c r="D386" s="118" t="s">
        <v>584</v>
      </c>
      <c r="E386" s="118" t="s">
        <v>613</v>
      </c>
      <c r="F386" s="118" t="s">
        <v>76</v>
      </c>
      <c r="G386" s="117">
        <v>225000</v>
      </c>
      <c r="H386" s="150" t="s">
        <v>571</v>
      </c>
      <c r="I386" s="115" t="str">
        <f>IF(N386&gt;1,"group","individual")</f>
        <v>individual</v>
      </c>
      <c r="J386" s="27">
        <v>1</v>
      </c>
      <c r="K386" s="118"/>
      <c r="L386" s="118"/>
      <c r="M386" s="118"/>
      <c r="N386" s="115">
        <f>SUM(J386:K386)</f>
        <v>1</v>
      </c>
      <c r="O386" s="115">
        <f>SUM(L386:M386)</f>
        <v>0</v>
      </c>
      <c r="P386" s="177"/>
      <c r="Q386" s="177"/>
      <c r="R386" s="177"/>
    </row>
    <row r="387" spans="1:18" ht="15.75" customHeight="1">
      <c r="A387" s="120" t="s">
        <v>25</v>
      </c>
      <c r="B387" s="120" t="s">
        <v>26</v>
      </c>
      <c r="C387" s="120" t="s">
        <v>9</v>
      </c>
      <c r="D387" s="120" t="s">
        <v>584</v>
      </c>
      <c r="E387" s="120" t="s">
        <v>614</v>
      </c>
      <c r="F387" s="120" t="s">
        <v>186</v>
      </c>
      <c r="G387" s="119">
        <v>225000</v>
      </c>
      <c r="H387" s="34" t="s">
        <v>364</v>
      </c>
      <c r="I387" s="115" t="str">
        <f>IF(N387&gt;1,"group","individual")</f>
        <v>group</v>
      </c>
      <c r="J387" s="120"/>
      <c r="K387" s="36">
        <v>5</v>
      </c>
      <c r="L387" s="120"/>
      <c r="M387" s="120"/>
      <c r="N387" s="115">
        <f>SUM(J387:K387)</f>
        <v>5</v>
      </c>
      <c r="O387" s="115">
        <f>SUM(L387:M387)</f>
        <v>0</v>
      </c>
      <c r="P387" s="177"/>
      <c r="Q387" s="177"/>
      <c r="R387" s="177"/>
    </row>
    <row r="388" spans="1:18" ht="15.75" customHeight="1">
      <c r="A388" s="118" t="s">
        <v>25</v>
      </c>
      <c r="B388" s="118" t="s">
        <v>26</v>
      </c>
      <c r="C388" s="118" t="s">
        <v>9</v>
      </c>
      <c r="D388" s="118" t="s">
        <v>584</v>
      </c>
      <c r="E388" s="118" t="s">
        <v>615</v>
      </c>
      <c r="F388" s="118" t="s">
        <v>76</v>
      </c>
      <c r="G388" s="117">
        <v>225000</v>
      </c>
      <c r="H388" s="150" t="s">
        <v>616</v>
      </c>
      <c r="I388" s="115" t="str">
        <f>IF(N388&gt;1,"group","individual")</f>
        <v>individual</v>
      </c>
      <c r="J388" s="118"/>
      <c r="K388" s="27">
        <v>1</v>
      </c>
      <c r="L388" s="118"/>
      <c r="M388" s="118"/>
      <c r="N388" s="115">
        <f>SUM(J388:K388)</f>
        <v>1</v>
      </c>
      <c r="O388" s="115">
        <f>SUM(L388:M388)</f>
        <v>0</v>
      </c>
      <c r="P388" s="177"/>
      <c r="Q388" s="177"/>
      <c r="R388" s="177"/>
    </row>
    <row r="389" spans="1:18" ht="15.75" customHeight="1">
      <c r="A389" s="118" t="s">
        <v>25</v>
      </c>
      <c r="B389" s="118" t="s">
        <v>26</v>
      </c>
      <c r="C389" s="118" t="s">
        <v>9</v>
      </c>
      <c r="D389" s="118" t="s">
        <v>584</v>
      </c>
      <c r="E389" s="118" t="s">
        <v>617</v>
      </c>
      <c r="F389" s="118" t="s">
        <v>258</v>
      </c>
      <c r="G389" s="117">
        <v>150000</v>
      </c>
      <c r="H389" s="150" t="s">
        <v>616</v>
      </c>
      <c r="I389" s="115" t="str">
        <f>IF(N389&gt;1,"group","individual")</f>
        <v>individual</v>
      </c>
      <c r="J389" s="118"/>
      <c r="K389" s="27">
        <v>1</v>
      </c>
      <c r="L389" s="118"/>
      <c r="M389" s="118"/>
      <c r="N389" s="115">
        <f>SUM(J389:K389)</f>
        <v>1</v>
      </c>
      <c r="O389" s="115">
        <f>SUM(L389:M389)</f>
        <v>0</v>
      </c>
      <c r="P389" s="177"/>
      <c r="Q389" s="177"/>
      <c r="R389" s="177"/>
    </row>
    <row r="390" spans="1:18" ht="15.75" customHeight="1">
      <c r="A390" s="118" t="s">
        <v>25</v>
      </c>
      <c r="B390" s="118" t="s">
        <v>26</v>
      </c>
      <c r="C390" s="118" t="s">
        <v>9</v>
      </c>
      <c r="D390" s="118" t="s">
        <v>584</v>
      </c>
      <c r="E390" s="118" t="s">
        <v>618</v>
      </c>
      <c r="F390" s="118" t="s">
        <v>76</v>
      </c>
      <c r="G390" s="117">
        <v>225000</v>
      </c>
      <c r="H390" s="150" t="s">
        <v>616</v>
      </c>
      <c r="I390" s="115" t="str">
        <f>IF(N390&gt;1,"group","individual")</f>
        <v>individual</v>
      </c>
      <c r="J390" s="118"/>
      <c r="K390" s="27">
        <v>1</v>
      </c>
      <c r="L390" s="118"/>
      <c r="M390" s="118"/>
      <c r="N390" s="115">
        <f>SUM(J390:K390)</f>
        <v>1</v>
      </c>
      <c r="O390" s="115">
        <f>SUM(L390:M390)</f>
        <v>0</v>
      </c>
      <c r="P390" s="177"/>
      <c r="Q390" s="177"/>
      <c r="R390" s="177"/>
    </row>
    <row r="391" spans="1:18" ht="15.75" customHeight="1">
      <c r="A391" s="118" t="s">
        <v>25</v>
      </c>
      <c r="B391" s="118" t="s">
        <v>26</v>
      </c>
      <c r="C391" s="118" t="s">
        <v>9</v>
      </c>
      <c r="D391" s="118" t="s">
        <v>584</v>
      </c>
      <c r="E391" s="118" t="s">
        <v>619</v>
      </c>
      <c r="F391" s="118" t="s">
        <v>76</v>
      </c>
      <c r="G391" s="117">
        <v>180000</v>
      </c>
      <c r="H391" s="150" t="s">
        <v>616</v>
      </c>
      <c r="I391" s="115" t="str">
        <f>IF(N391&gt;1,"group","individual")</f>
        <v>individual</v>
      </c>
      <c r="J391" s="27">
        <v>1</v>
      </c>
      <c r="K391" s="118"/>
      <c r="L391" s="118"/>
      <c r="M391" s="118"/>
      <c r="N391" s="115">
        <f>SUM(J391:K391)</f>
        <v>1</v>
      </c>
      <c r="O391" s="115">
        <f>SUM(L391:M391)</f>
        <v>0</v>
      </c>
      <c r="P391" s="177"/>
      <c r="Q391" s="177"/>
      <c r="R391" s="177"/>
    </row>
    <row r="392" spans="1:18" ht="15.75" customHeight="1">
      <c r="A392" s="118" t="s">
        <v>25</v>
      </c>
      <c r="B392" s="118" t="s">
        <v>26</v>
      </c>
      <c r="C392" s="118" t="s">
        <v>9</v>
      </c>
      <c r="D392" s="118" t="s">
        <v>584</v>
      </c>
      <c r="E392" s="118" t="s">
        <v>620</v>
      </c>
      <c r="F392" s="118" t="s">
        <v>29</v>
      </c>
      <c r="G392" s="117">
        <v>75000</v>
      </c>
      <c r="H392" s="150" t="s">
        <v>616</v>
      </c>
      <c r="I392" s="115" t="str">
        <f>IF(N392&gt;1,"group","individual")</f>
        <v>individual</v>
      </c>
      <c r="J392" s="118"/>
      <c r="K392" s="27">
        <v>1</v>
      </c>
      <c r="L392" s="118"/>
      <c r="M392" s="118"/>
      <c r="N392" s="115">
        <f>SUM(J392:K392)</f>
        <v>1</v>
      </c>
      <c r="O392" s="115">
        <f>SUM(L392:M392)</f>
        <v>0</v>
      </c>
      <c r="P392" s="177"/>
      <c r="Q392" s="177"/>
      <c r="R392" s="177"/>
    </row>
    <row r="393" spans="1:18" ht="15.75" customHeight="1">
      <c r="A393" s="118" t="s">
        <v>25</v>
      </c>
      <c r="B393" s="118" t="s">
        <v>26</v>
      </c>
      <c r="C393" s="118" t="s">
        <v>9</v>
      </c>
      <c r="D393" s="118" t="s">
        <v>584</v>
      </c>
      <c r="E393" s="118" t="s">
        <v>621</v>
      </c>
      <c r="F393" s="118" t="s">
        <v>63</v>
      </c>
      <c r="G393" s="117">
        <v>180000</v>
      </c>
      <c r="H393" s="150" t="s">
        <v>616</v>
      </c>
      <c r="I393" s="115" t="str">
        <f>IF(N393&gt;1,"group","individual")</f>
        <v>individual</v>
      </c>
      <c r="J393" s="118"/>
      <c r="K393" s="27">
        <v>1</v>
      </c>
      <c r="L393" s="118"/>
      <c r="M393" s="118"/>
      <c r="N393" s="115">
        <f>SUM(J393:K393)</f>
        <v>1</v>
      </c>
      <c r="O393" s="115">
        <f>SUM(L393:M393)</f>
        <v>0</v>
      </c>
      <c r="P393" s="177"/>
      <c r="Q393" s="177"/>
      <c r="R393" s="177"/>
    </row>
    <row r="394" spans="1:18" ht="15.75" customHeight="1">
      <c r="A394" s="118" t="s">
        <v>25</v>
      </c>
      <c r="B394" s="118" t="s">
        <v>26</v>
      </c>
      <c r="C394" s="118" t="s">
        <v>9</v>
      </c>
      <c r="D394" s="118" t="s">
        <v>584</v>
      </c>
      <c r="E394" s="118" t="s">
        <v>622</v>
      </c>
      <c r="F394" s="118" t="s">
        <v>76</v>
      </c>
      <c r="G394" s="117">
        <v>75000</v>
      </c>
      <c r="H394" s="150" t="s">
        <v>616</v>
      </c>
      <c r="I394" s="115" t="str">
        <f>IF(N394&gt;1,"group","individual")</f>
        <v>individual</v>
      </c>
      <c r="J394" s="118"/>
      <c r="K394" s="27">
        <v>1</v>
      </c>
      <c r="L394" s="118"/>
      <c r="M394" s="118"/>
      <c r="N394" s="115">
        <f>SUM(J394:K394)</f>
        <v>1</v>
      </c>
      <c r="O394" s="115">
        <f>SUM(L394:M394)</f>
        <v>0</v>
      </c>
      <c r="P394" s="177"/>
      <c r="Q394" s="177"/>
      <c r="R394" s="177"/>
    </row>
    <row r="395" spans="1:18" ht="15.75" customHeight="1">
      <c r="A395" s="118" t="s">
        <v>25</v>
      </c>
      <c r="B395" s="118" t="s">
        <v>26</v>
      </c>
      <c r="C395" s="118" t="s">
        <v>9</v>
      </c>
      <c r="D395" s="118" t="s">
        <v>584</v>
      </c>
      <c r="E395" s="118" t="s">
        <v>623</v>
      </c>
      <c r="F395" s="118" t="s">
        <v>624</v>
      </c>
      <c r="G395" s="117">
        <v>150000</v>
      </c>
      <c r="H395" s="150" t="s">
        <v>482</v>
      </c>
      <c r="I395" s="115" t="str">
        <f>IF(N395&gt;1,"group","individual")</f>
        <v>individual</v>
      </c>
      <c r="J395" s="118"/>
      <c r="K395" s="27">
        <v>1</v>
      </c>
      <c r="L395" s="118"/>
      <c r="M395" s="118"/>
      <c r="N395" s="115">
        <f>SUM(J395:K395)</f>
        <v>1</v>
      </c>
      <c r="O395" s="115">
        <f>SUM(L395:M395)</f>
        <v>0</v>
      </c>
      <c r="P395" s="177"/>
      <c r="Q395" s="177"/>
      <c r="R395" s="177"/>
    </row>
    <row r="396" spans="1:18" ht="15.75" customHeight="1">
      <c r="A396" s="118" t="s">
        <v>25</v>
      </c>
      <c r="B396" s="118" t="s">
        <v>26</v>
      </c>
      <c r="C396" s="118" t="s">
        <v>9</v>
      </c>
      <c r="D396" s="118" t="s">
        <v>584</v>
      </c>
      <c r="E396" s="118" t="s">
        <v>625</v>
      </c>
      <c r="F396" s="118" t="s">
        <v>186</v>
      </c>
      <c r="G396" s="117">
        <v>75000</v>
      </c>
      <c r="H396" s="150" t="s">
        <v>482</v>
      </c>
      <c r="I396" s="115" t="str">
        <f>IF(N396&gt;1,"group","individual")</f>
        <v>individual</v>
      </c>
      <c r="J396" s="118"/>
      <c r="K396" s="27">
        <v>1</v>
      </c>
      <c r="L396" s="118"/>
      <c r="M396" s="118"/>
      <c r="N396" s="115">
        <f>SUM(J396:K396)</f>
        <v>1</v>
      </c>
      <c r="O396" s="115">
        <f>SUM(L396:M396)</f>
        <v>0</v>
      </c>
      <c r="P396" s="177"/>
      <c r="Q396" s="177"/>
      <c r="R396" s="177"/>
    </row>
    <row r="397" spans="1:18" ht="15.75" customHeight="1">
      <c r="A397" s="118" t="s">
        <v>25</v>
      </c>
      <c r="B397" s="118" t="s">
        <v>26</v>
      </c>
      <c r="C397" s="118" t="s">
        <v>9</v>
      </c>
      <c r="D397" s="118" t="s">
        <v>584</v>
      </c>
      <c r="E397" s="118" t="s">
        <v>626</v>
      </c>
      <c r="F397" s="118" t="s">
        <v>63</v>
      </c>
      <c r="G397" s="117">
        <v>200000</v>
      </c>
      <c r="H397" s="150" t="s">
        <v>482</v>
      </c>
      <c r="I397" s="115" t="str">
        <f>IF(N397&gt;1,"group","individual")</f>
        <v>individual</v>
      </c>
      <c r="J397" s="118"/>
      <c r="K397" s="27">
        <v>1</v>
      </c>
      <c r="L397" s="118"/>
      <c r="M397" s="118"/>
      <c r="N397" s="115">
        <f>SUM(J397:K397)</f>
        <v>1</v>
      </c>
      <c r="O397" s="115">
        <f>SUM(L397:M397)</f>
        <v>0</v>
      </c>
      <c r="P397" s="177"/>
      <c r="Q397" s="177"/>
      <c r="R397" s="177"/>
    </row>
    <row r="398" spans="1:18" ht="15.75" customHeight="1">
      <c r="A398" s="120" t="s">
        <v>25</v>
      </c>
      <c r="B398" s="120" t="s">
        <v>26</v>
      </c>
      <c r="C398" s="120" t="s">
        <v>9</v>
      </c>
      <c r="D398" s="120" t="s">
        <v>584</v>
      </c>
      <c r="E398" s="120" t="s">
        <v>627</v>
      </c>
      <c r="F398" s="120" t="s">
        <v>76</v>
      </c>
      <c r="G398" s="119">
        <v>200000</v>
      </c>
      <c r="H398" s="34" t="s">
        <v>64</v>
      </c>
      <c r="I398" s="115" t="str">
        <f>IF(N398&gt;1,"group","individual")</f>
        <v>individual</v>
      </c>
      <c r="J398" s="120"/>
      <c r="K398" s="36">
        <v>1</v>
      </c>
      <c r="L398" s="120"/>
      <c r="M398" s="120"/>
      <c r="N398" s="115">
        <f>SUM(J398:K398)</f>
        <v>1</v>
      </c>
      <c r="O398" s="115">
        <f>SUM(L398:M398)</f>
        <v>0</v>
      </c>
      <c r="P398" s="177"/>
      <c r="Q398" s="185"/>
      <c r="R398" s="196"/>
    </row>
    <row r="399" spans="1:18" ht="15.75" customHeight="1">
      <c r="A399" s="120" t="s">
        <v>25</v>
      </c>
      <c r="B399" s="120" t="s">
        <v>26</v>
      </c>
      <c r="C399" s="120" t="s">
        <v>9</v>
      </c>
      <c r="D399" s="120" t="s">
        <v>584</v>
      </c>
      <c r="E399" s="120" t="s">
        <v>628</v>
      </c>
      <c r="F399" s="120" t="s">
        <v>37</v>
      </c>
      <c r="G399" s="119">
        <v>225000</v>
      </c>
      <c r="H399" s="34" t="s">
        <v>64</v>
      </c>
      <c r="I399" s="115" t="str">
        <f>IF(N399&gt;1,"group","individual")</f>
        <v>individual</v>
      </c>
      <c r="J399" s="120"/>
      <c r="K399" s="36">
        <v>1</v>
      </c>
      <c r="L399" s="120"/>
      <c r="M399" s="120"/>
      <c r="N399" s="115">
        <f>SUM(J399:K399)</f>
        <v>1</v>
      </c>
      <c r="O399" s="115">
        <f>SUM(L399:M399)</f>
        <v>0</v>
      </c>
      <c r="P399" s="177"/>
      <c r="Q399" s="185"/>
      <c r="R399" s="198"/>
    </row>
    <row r="400" spans="1:18" ht="15.75" customHeight="1">
      <c r="A400" s="120" t="s">
        <v>25</v>
      </c>
      <c r="B400" s="120" t="s">
        <v>26</v>
      </c>
      <c r="C400" s="120" t="s">
        <v>9</v>
      </c>
      <c r="D400" s="120" t="s">
        <v>584</v>
      </c>
      <c r="E400" s="120" t="s">
        <v>629</v>
      </c>
      <c r="F400" s="120" t="s">
        <v>169</v>
      </c>
      <c r="G400" s="119">
        <v>225000</v>
      </c>
      <c r="H400" s="34" t="s">
        <v>64</v>
      </c>
      <c r="I400" s="115" t="str">
        <f>IF(N400&gt;1,"group","individual")</f>
        <v>individual</v>
      </c>
      <c r="J400" s="120"/>
      <c r="K400" s="36">
        <v>1</v>
      </c>
      <c r="L400" s="120"/>
      <c r="M400" s="120"/>
      <c r="N400" s="115">
        <f>SUM(J400:K400)</f>
        <v>1</v>
      </c>
      <c r="O400" s="115">
        <f>SUM(L400:M400)</f>
        <v>0</v>
      </c>
      <c r="P400" s="177"/>
      <c r="Q400" s="185"/>
      <c r="R400" s="177"/>
    </row>
    <row r="401" spans="1:18" ht="15.75" customHeight="1">
      <c r="A401" s="120" t="s">
        <v>25</v>
      </c>
      <c r="B401" s="120" t="s">
        <v>26</v>
      </c>
      <c r="C401" s="120" t="s">
        <v>9</v>
      </c>
      <c r="D401" s="120" t="s">
        <v>584</v>
      </c>
      <c r="E401" s="120" t="s">
        <v>630</v>
      </c>
      <c r="F401" s="120" t="s">
        <v>76</v>
      </c>
      <c r="G401" s="119">
        <v>225000</v>
      </c>
      <c r="H401" s="34" t="s">
        <v>64</v>
      </c>
      <c r="I401" s="115" t="str">
        <f>IF(N401&gt;1,"group","individual")</f>
        <v>individual</v>
      </c>
      <c r="J401" s="120"/>
      <c r="K401" s="36">
        <v>1</v>
      </c>
      <c r="L401" s="120"/>
      <c r="M401" s="120"/>
      <c r="N401" s="115">
        <f>SUM(J401:K401)</f>
        <v>1</v>
      </c>
      <c r="O401" s="115">
        <f>SUM(L401:M401)</f>
        <v>0</v>
      </c>
      <c r="P401" s="177"/>
      <c r="Q401" s="185"/>
      <c r="R401" s="177"/>
    </row>
    <row r="402" spans="1:18" ht="15.75" customHeight="1">
      <c r="A402" s="120" t="s">
        <v>25</v>
      </c>
      <c r="B402" s="120" t="s">
        <v>26</v>
      </c>
      <c r="C402" s="120" t="s">
        <v>9</v>
      </c>
      <c r="D402" s="120" t="s">
        <v>584</v>
      </c>
      <c r="E402" s="120" t="s">
        <v>631</v>
      </c>
      <c r="F402" s="120" t="s">
        <v>76</v>
      </c>
      <c r="G402" s="119">
        <v>225000</v>
      </c>
      <c r="H402" s="34" t="s">
        <v>64</v>
      </c>
      <c r="I402" s="115" t="str">
        <f>IF(N402&gt;1,"group","individual")</f>
        <v>individual</v>
      </c>
      <c r="J402" s="120"/>
      <c r="K402" s="36">
        <v>1</v>
      </c>
      <c r="L402" s="120"/>
      <c r="M402" s="120"/>
      <c r="N402" s="115">
        <f>SUM(J402:K402)</f>
        <v>1</v>
      </c>
      <c r="O402" s="115">
        <f>SUM(L402:M402)</f>
        <v>0</v>
      </c>
      <c r="P402" s="177"/>
      <c r="Q402" s="185"/>
      <c r="R402" s="177"/>
    </row>
    <row r="403" spans="1:18" ht="15.75" customHeight="1">
      <c r="A403" s="118" t="s">
        <v>25</v>
      </c>
      <c r="B403" s="118" t="s">
        <v>26</v>
      </c>
      <c r="C403" s="118" t="s">
        <v>9</v>
      </c>
      <c r="D403" s="118" t="s">
        <v>584</v>
      </c>
      <c r="E403" s="118" t="s">
        <v>632</v>
      </c>
      <c r="F403" s="118" t="s">
        <v>29</v>
      </c>
      <c r="G403" s="117">
        <v>225000</v>
      </c>
      <c r="H403" s="150" t="s">
        <v>578</v>
      </c>
      <c r="I403" s="115" t="str">
        <f>IF(N403&gt;1,"group","individual")</f>
        <v>group</v>
      </c>
      <c r="J403" s="27">
        <v>2</v>
      </c>
      <c r="K403" s="27">
        <v>3</v>
      </c>
      <c r="L403" s="118"/>
      <c r="M403" s="118"/>
      <c r="N403" s="115">
        <f>SUM(J403:K403)</f>
        <v>5</v>
      </c>
      <c r="O403" s="115">
        <f>SUM(L403:M403)</f>
        <v>0</v>
      </c>
      <c r="P403" s="177"/>
      <c r="Q403" s="185"/>
      <c r="R403" s="177"/>
    </row>
    <row r="404" spans="1:18" ht="15.75" customHeight="1">
      <c r="A404" s="118" t="s">
        <v>25</v>
      </c>
      <c r="B404" s="118" t="s">
        <v>26</v>
      </c>
      <c r="C404" s="118" t="s">
        <v>9</v>
      </c>
      <c r="D404" s="118" t="s">
        <v>584</v>
      </c>
      <c r="E404" s="118" t="s">
        <v>633</v>
      </c>
      <c r="F404" s="118" t="s">
        <v>186</v>
      </c>
      <c r="G404" s="117">
        <v>180000</v>
      </c>
      <c r="H404" s="150" t="s">
        <v>578</v>
      </c>
      <c r="I404" s="115" t="str">
        <f>IF(N404&gt;1,"group","individual")</f>
        <v>individual</v>
      </c>
      <c r="J404" s="118"/>
      <c r="K404" s="27">
        <v>1</v>
      </c>
      <c r="L404" s="118"/>
      <c r="M404" s="118"/>
      <c r="N404" s="115">
        <f>SUM(J404:K404)</f>
        <v>1</v>
      </c>
      <c r="O404" s="115">
        <f>SUM(L404:M404)</f>
        <v>0</v>
      </c>
      <c r="P404" s="177"/>
      <c r="Q404" s="185"/>
      <c r="R404" s="177"/>
    </row>
    <row r="405" spans="1:18" ht="15.75" customHeight="1">
      <c r="A405" s="118" t="s">
        <v>25</v>
      </c>
      <c r="B405" s="118" t="s">
        <v>26</v>
      </c>
      <c r="C405" s="118" t="s">
        <v>9</v>
      </c>
      <c r="D405" s="118" t="s">
        <v>584</v>
      </c>
      <c r="E405" s="118" t="s">
        <v>634</v>
      </c>
      <c r="F405" s="118" t="s">
        <v>393</v>
      </c>
      <c r="G405" s="117">
        <v>150000</v>
      </c>
      <c r="H405" s="150" t="s">
        <v>578</v>
      </c>
      <c r="I405" s="115" t="str">
        <f>IF(N405&gt;1,"group","individual")</f>
        <v>individual</v>
      </c>
      <c r="J405" s="118"/>
      <c r="K405" s="27">
        <v>1</v>
      </c>
      <c r="L405" s="118"/>
      <c r="M405" s="118"/>
      <c r="N405" s="115">
        <f>SUM(J405:K405)</f>
        <v>1</v>
      </c>
      <c r="O405" s="115">
        <f>SUM(L405:M405)</f>
        <v>0</v>
      </c>
      <c r="P405" s="177"/>
      <c r="Q405" s="185"/>
      <c r="R405" s="177"/>
    </row>
    <row r="406" spans="1:18" ht="15.75" customHeight="1">
      <c r="A406" s="118" t="s">
        <v>25</v>
      </c>
      <c r="B406" s="118" t="s">
        <v>26</v>
      </c>
      <c r="C406" s="118" t="s">
        <v>9</v>
      </c>
      <c r="D406" s="118" t="s">
        <v>584</v>
      </c>
      <c r="E406" s="118" t="s">
        <v>635</v>
      </c>
      <c r="F406" s="118" t="s">
        <v>636</v>
      </c>
      <c r="G406" s="117">
        <v>225000</v>
      </c>
      <c r="H406" s="69" t="s">
        <v>146</v>
      </c>
      <c r="I406" s="115" t="str">
        <f>IF(N406&gt;1,"group","individual")</f>
        <v>individual</v>
      </c>
      <c r="J406" s="118"/>
      <c r="K406" s="27">
        <v>1</v>
      </c>
      <c r="L406" s="118"/>
      <c r="M406" s="118"/>
      <c r="N406" s="115">
        <f>SUM(J406:K406)</f>
        <v>1</v>
      </c>
      <c r="O406" s="115">
        <f>SUM(L406:M406)</f>
        <v>0</v>
      </c>
      <c r="P406" s="177"/>
      <c r="Q406" s="185"/>
      <c r="R406" s="177"/>
    </row>
    <row r="407" spans="1:18" ht="15.75" customHeight="1">
      <c r="A407" s="118" t="s">
        <v>25</v>
      </c>
      <c r="B407" s="118" t="s">
        <v>26</v>
      </c>
      <c r="C407" s="118" t="s">
        <v>9</v>
      </c>
      <c r="D407" s="118" t="s">
        <v>584</v>
      </c>
      <c r="E407" s="118" t="s">
        <v>637</v>
      </c>
      <c r="F407" s="118" t="s">
        <v>186</v>
      </c>
      <c r="G407" s="117">
        <v>150000</v>
      </c>
      <c r="H407" s="121">
        <v>45919</v>
      </c>
      <c r="I407" s="115" t="str">
        <f>IF(N407&gt;1,"group","individual")</f>
        <v>group</v>
      </c>
      <c r="J407" s="27">
        <v>2</v>
      </c>
      <c r="K407" s="118"/>
      <c r="L407" s="118"/>
      <c r="M407" s="118"/>
      <c r="N407" s="115">
        <f>SUM(J407:K407)</f>
        <v>2</v>
      </c>
      <c r="O407" s="115">
        <f>SUM(L407:M407)</f>
        <v>0</v>
      </c>
      <c r="P407" s="177"/>
      <c r="Q407" s="185"/>
      <c r="R407" s="177"/>
    </row>
    <row r="408" spans="1:18" ht="15.75" customHeight="1">
      <c r="A408" s="124" t="s">
        <v>25</v>
      </c>
      <c r="B408" s="124" t="s">
        <v>26</v>
      </c>
      <c r="C408" s="124" t="s">
        <v>9</v>
      </c>
      <c r="D408" s="124" t="s">
        <v>584</v>
      </c>
      <c r="E408" s="124" t="s">
        <v>638</v>
      </c>
      <c r="F408" s="124" t="s">
        <v>403</v>
      </c>
      <c r="G408" s="122">
        <v>75000</v>
      </c>
      <c r="H408" s="123">
        <v>45924</v>
      </c>
      <c r="I408" s="115" t="str">
        <f>IF(N408&gt;1,"group","individual")</f>
        <v>individual</v>
      </c>
      <c r="J408" s="124"/>
      <c r="K408" s="125">
        <v>1</v>
      </c>
      <c r="L408" s="124"/>
      <c r="M408" s="124"/>
      <c r="N408" s="115">
        <f>SUM(J408:K408)</f>
        <v>1</v>
      </c>
      <c r="O408" s="115">
        <f>SUM(L408:M408)</f>
        <v>0</v>
      </c>
      <c r="P408" s="177"/>
      <c r="Q408" s="185"/>
      <c r="R408" s="177"/>
    </row>
    <row r="409" spans="1:18" ht="15.75" customHeight="1">
      <c r="A409" s="124" t="s">
        <v>25</v>
      </c>
      <c r="B409" s="124" t="s">
        <v>26</v>
      </c>
      <c r="C409" s="124" t="s">
        <v>9</v>
      </c>
      <c r="D409" s="124" t="s">
        <v>584</v>
      </c>
      <c r="E409" s="124" t="s">
        <v>639</v>
      </c>
      <c r="F409" s="124" t="s">
        <v>403</v>
      </c>
      <c r="G409" s="122">
        <v>75000</v>
      </c>
      <c r="H409" s="123">
        <v>45924</v>
      </c>
      <c r="I409" s="115" t="str">
        <f>IF(N409&gt;1,"group","individual")</f>
        <v>individual</v>
      </c>
      <c r="J409" s="124"/>
      <c r="K409" s="125">
        <v>1</v>
      </c>
      <c r="L409" s="124"/>
      <c r="M409" s="124"/>
      <c r="N409" s="115">
        <f>SUM(J409:K409)</f>
        <v>1</v>
      </c>
      <c r="O409" s="115">
        <f>SUM(L409:M409)</f>
        <v>0</v>
      </c>
      <c r="P409" s="177"/>
      <c r="Q409" s="185"/>
      <c r="R409" s="177"/>
    </row>
    <row r="410" spans="1:18" ht="15.75" customHeight="1">
      <c r="A410" s="124" t="s">
        <v>25</v>
      </c>
      <c r="B410" s="124" t="s">
        <v>26</v>
      </c>
      <c r="C410" s="124" t="s">
        <v>9</v>
      </c>
      <c r="D410" s="124" t="s">
        <v>584</v>
      </c>
      <c r="E410" s="124" t="s">
        <v>640</v>
      </c>
      <c r="F410" s="124" t="s">
        <v>641</v>
      </c>
      <c r="G410" s="122">
        <v>75000</v>
      </c>
      <c r="H410" s="123">
        <v>45924</v>
      </c>
      <c r="I410" s="115" t="str">
        <f>IF(N410&gt;1,"group","individual")</f>
        <v>individual</v>
      </c>
      <c r="J410" s="125">
        <v>1</v>
      </c>
      <c r="K410" s="124"/>
      <c r="L410" s="124"/>
      <c r="M410" s="124"/>
      <c r="N410" s="115">
        <f>SUM(J410:K410)</f>
        <v>1</v>
      </c>
      <c r="O410" s="115">
        <f>SUM(L410:M410)</f>
        <v>0</v>
      </c>
      <c r="P410" s="177"/>
      <c r="Q410" s="185"/>
      <c r="R410" s="177"/>
    </row>
    <row r="411" spans="1:18" ht="15.75" customHeight="1">
      <c r="A411" s="124" t="s">
        <v>25</v>
      </c>
      <c r="B411" s="124" t="s">
        <v>26</v>
      </c>
      <c r="C411" s="124" t="s">
        <v>9</v>
      </c>
      <c r="D411" s="124" t="s">
        <v>584</v>
      </c>
      <c r="E411" s="124" t="s">
        <v>642</v>
      </c>
      <c r="F411" s="124" t="s">
        <v>37</v>
      </c>
      <c r="G411" s="122">
        <v>225000</v>
      </c>
      <c r="H411" s="123">
        <v>45924</v>
      </c>
      <c r="I411" s="115" t="str">
        <f>IF(N411&gt;1,"group","individual")</f>
        <v>group</v>
      </c>
      <c r="J411" s="125">
        <v>2</v>
      </c>
      <c r="K411" s="125">
        <v>1</v>
      </c>
      <c r="L411" s="124"/>
      <c r="M411" s="124"/>
      <c r="N411" s="115">
        <f>SUM(J411:K411)</f>
        <v>3</v>
      </c>
      <c r="O411" s="115">
        <f>SUM(L411:M411)</f>
        <v>0</v>
      </c>
      <c r="P411" s="177"/>
      <c r="Q411" s="185"/>
      <c r="R411" s="177"/>
    </row>
    <row r="412" spans="1:18" ht="15.75" customHeight="1">
      <c r="A412" s="128" t="s">
        <v>25</v>
      </c>
      <c r="B412" s="128" t="s">
        <v>26</v>
      </c>
      <c r="C412" s="128" t="s">
        <v>9</v>
      </c>
      <c r="D412" s="128" t="s">
        <v>584</v>
      </c>
      <c r="E412" s="128" t="s">
        <v>643</v>
      </c>
      <c r="F412" s="128" t="s">
        <v>186</v>
      </c>
      <c r="G412" s="126">
        <v>150000</v>
      </c>
      <c r="H412" s="127">
        <v>45924</v>
      </c>
      <c r="I412" s="115" t="str">
        <f>IF(N412&gt;1,"group","individual")</f>
        <v>group</v>
      </c>
      <c r="J412" s="128"/>
      <c r="K412" s="129">
        <v>2</v>
      </c>
      <c r="L412" s="128"/>
      <c r="M412" s="128"/>
      <c r="N412" s="115">
        <f>SUM(J412:K412)</f>
        <v>2</v>
      </c>
      <c r="O412" s="115">
        <f>SUM(L412:M412)</f>
        <v>0</v>
      </c>
      <c r="P412" s="177"/>
      <c r="Q412" s="185"/>
      <c r="R412" s="177"/>
    </row>
    <row r="413" spans="1:18" ht="15.75" customHeight="1">
      <c r="A413" s="130" t="s">
        <v>25</v>
      </c>
      <c r="B413" s="130" t="s">
        <v>26</v>
      </c>
      <c r="C413" s="130" t="s">
        <v>9</v>
      </c>
      <c r="D413" s="135" t="s">
        <v>419</v>
      </c>
      <c r="E413" s="135" t="s">
        <v>680</v>
      </c>
      <c r="F413" s="135"/>
      <c r="G413" s="136">
        <v>75000</v>
      </c>
      <c r="H413" s="137">
        <v>45930</v>
      </c>
      <c r="I413" s="115" t="str">
        <f>IF(N413&gt;1,"group","individual")</f>
        <v>individual</v>
      </c>
      <c r="J413" s="132"/>
      <c r="K413" s="133">
        <v>1</v>
      </c>
      <c r="L413" s="132"/>
      <c r="M413" s="132"/>
      <c r="N413" s="115">
        <f>SUM(J413:K413)</f>
        <v>1</v>
      </c>
      <c r="O413" s="115">
        <f>SUM(L413:M413)</f>
        <v>0</v>
      </c>
      <c r="P413" s="132"/>
      <c r="Q413" s="134" t="s">
        <v>30</v>
      </c>
      <c r="R413" s="197">
        <v>46689</v>
      </c>
    </row>
    <row r="414" spans="1:18" ht="15.75" customHeight="1">
      <c r="A414" s="130" t="s">
        <v>25</v>
      </c>
      <c r="B414" s="130" t="s">
        <v>26</v>
      </c>
      <c r="C414" s="130" t="s">
        <v>9</v>
      </c>
      <c r="D414" s="135" t="s">
        <v>419</v>
      </c>
      <c r="E414" s="135" t="s">
        <v>681</v>
      </c>
      <c r="F414" s="135" t="s">
        <v>541</v>
      </c>
      <c r="G414" s="136">
        <v>225000</v>
      </c>
      <c r="H414" s="137">
        <v>45930</v>
      </c>
      <c r="I414" s="115" t="str">
        <f>IF(N414&gt;1,"group","individual")</f>
        <v>group</v>
      </c>
      <c r="J414" s="132"/>
      <c r="K414" s="133">
        <v>3</v>
      </c>
      <c r="L414" s="132"/>
      <c r="M414" s="132"/>
      <c r="N414" s="115">
        <f>SUM(J414:K414)</f>
        <v>3</v>
      </c>
      <c r="O414" s="115">
        <f>SUM(L414:M414)</f>
        <v>0</v>
      </c>
      <c r="P414" s="132"/>
      <c r="Q414" s="140" t="s">
        <v>30</v>
      </c>
      <c r="R414" s="138">
        <v>45959</v>
      </c>
    </row>
    <row r="415" spans="1:18" ht="15.75" customHeight="1">
      <c r="A415" s="130" t="s">
        <v>25</v>
      </c>
      <c r="B415" s="130" t="s">
        <v>26</v>
      </c>
      <c r="C415" s="130" t="s">
        <v>9</v>
      </c>
      <c r="D415" s="135" t="s">
        <v>549</v>
      </c>
      <c r="E415" s="135" t="s">
        <v>682</v>
      </c>
      <c r="F415" s="135" t="s">
        <v>650</v>
      </c>
      <c r="G415" s="136">
        <v>150000</v>
      </c>
      <c r="H415" s="139">
        <v>45930</v>
      </c>
      <c r="I415" s="115" t="str">
        <f>IF(N415&gt;1,"group","individual")</f>
        <v>group</v>
      </c>
      <c r="J415" s="135"/>
      <c r="K415" s="140">
        <v>2</v>
      </c>
      <c r="L415" s="132"/>
      <c r="M415" s="132"/>
      <c r="N415" s="115">
        <f>SUM(J415:K415)</f>
        <v>2</v>
      </c>
      <c r="O415" s="115">
        <f>SUM(L415:M415)</f>
        <v>0</v>
      </c>
      <c r="P415" s="132"/>
      <c r="Q415" s="140" t="s">
        <v>30</v>
      </c>
      <c r="R415" s="138">
        <v>45959</v>
      </c>
    </row>
    <row r="416" spans="1:18" ht="15.75" customHeight="1">
      <c r="A416" s="130" t="s">
        <v>25</v>
      </c>
      <c r="B416" s="130" t="s">
        <v>26</v>
      </c>
      <c r="C416" s="130" t="s">
        <v>9</v>
      </c>
      <c r="D416" s="135" t="s">
        <v>549</v>
      </c>
      <c r="E416" s="135" t="s">
        <v>683</v>
      </c>
      <c r="F416" s="135" t="s">
        <v>684</v>
      </c>
      <c r="G416" s="136">
        <v>150000</v>
      </c>
      <c r="H416" s="139">
        <v>45930</v>
      </c>
      <c r="I416" s="115" t="str">
        <f>IF(N416&gt;1,"group","individual")</f>
        <v>group</v>
      </c>
      <c r="J416" s="135"/>
      <c r="K416" s="140">
        <v>2</v>
      </c>
      <c r="L416" s="132"/>
      <c r="M416" s="132"/>
      <c r="N416" s="115">
        <f>SUM(J416:K416)</f>
        <v>2</v>
      </c>
      <c r="O416" s="115">
        <f>SUM(L416:M416)</f>
        <v>0</v>
      </c>
      <c r="P416" s="132"/>
      <c r="Q416" s="140" t="s">
        <v>30</v>
      </c>
      <c r="R416" s="138">
        <v>45959</v>
      </c>
    </row>
    <row r="417" spans="1:18" ht="15.75" customHeight="1">
      <c r="A417" s="130" t="s">
        <v>25</v>
      </c>
      <c r="B417" s="130" t="s">
        <v>26</v>
      </c>
      <c r="C417" s="130" t="s">
        <v>9</v>
      </c>
      <c r="D417" s="135" t="s">
        <v>549</v>
      </c>
      <c r="E417" s="135" t="s">
        <v>685</v>
      </c>
      <c r="F417" s="135" t="s">
        <v>684</v>
      </c>
      <c r="G417" s="136">
        <v>75000</v>
      </c>
      <c r="H417" s="139">
        <v>45930</v>
      </c>
      <c r="I417" s="115" t="str">
        <f>IF(N417&gt;1,"group","individual")</f>
        <v>individual</v>
      </c>
      <c r="J417" s="135"/>
      <c r="K417" s="140">
        <v>1</v>
      </c>
      <c r="L417" s="132"/>
      <c r="M417" s="132"/>
      <c r="N417" s="115">
        <f>SUM(J417:K417)</f>
        <v>1</v>
      </c>
      <c r="O417" s="115">
        <f>SUM(L417:M417)</f>
        <v>0</v>
      </c>
      <c r="P417" s="132"/>
      <c r="Q417" s="140" t="s">
        <v>30</v>
      </c>
      <c r="R417" s="138">
        <v>45959</v>
      </c>
    </row>
    <row r="418" spans="1:18" ht="15.75" customHeight="1">
      <c r="A418" s="130" t="s">
        <v>25</v>
      </c>
      <c r="B418" s="130" t="s">
        <v>26</v>
      </c>
      <c r="C418" s="130" t="s">
        <v>9</v>
      </c>
      <c r="D418" s="135" t="s">
        <v>549</v>
      </c>
      <c r="E418" s="135" t="s">
        <v>686</v>
      </c>
      <c r="F418" s="135" t="s">
        <v>215</v>
      </c>
      <c r="G418" s="136">
        <v>75000</v>
      </c>
      <c r="H418" s="139">
        <v>45930</v>
      </c>
      <c r="I418" s="115" t="str">
        <f>IF(N418&gt;1,"group","individual")</f>
        <v>individual</v>
      </c>
      <c r="J418" s="140">
        <v>1</v>
      </c>
      <c r="K418" s="135"/>
      <c r="L418" s="132"/>
      <c r="M418" s="132"/>
      <c r="N418" s="115">
        <f>SUM(J418:K418)</f>
        <v>1</v>
      </c>
      <c r="O418" s="115">
        <f>SUM(L418:M418)</f>
        <v>0</v>
      </c>
      <c r="P418" s="132"/>
      <c r="Q418" s="140" t="s">
        <v>30</v>
      </c>
      <c r="R418" s="138">
        <v>45959</v>
      </c>
    </row>
    <row r="419" spans="1:18" ht="15.75" customHeight="1">
      <c r="A419" s="130" t="s">
        <v>25</v>
      </c>
      <c r="B419" s="130" t="s">
        <v>26</v>
      </c>
      <c r="C419" s="130" t="s">
        <v>9</v>
      </c>
      <c r="D419" s="135" t="s">
        <v>549</v>
      </c>
      <c r="E419" s="135" t="s">
        <v>687</v>
      </c>
      <c r="F419" s="135" t="s">
        <v>684</v>
      </c>
      <c r="G419" s="136">
        <v>75000</v>
      </c>
      <c r="H419" s="139">
        <v>45930</v>
      </c>
      <c r="I419" s="115" t="str">
        <f>IF(N419&gt;1,"group","individual")</f>
        <v>individual</v>
      </c>
      <c r="J419" s="140">
        <v>1</v>
      </c>
      <c r="K419" s="135"/>
      <c r="L419" s="132"/>
      <c r="M419" s="132"/>
      <c r="N419" s="115">
        <f>SUM(J419:K419)</f>
        <v>1</v>
      </c>
      <c r="O419" s="115">
        <f>SUM(L419:M419)</f>
        <v>0</v>
      </c>
      <c r="P419" s="132"/>
      <c r="Q419" s="140" t="s">
        <v>30</v>
      </c>
      <c r="R419" s="141">
        <v>45822</v>
      </c>
    </row>
    <row r="420" spans="1:18" ht="15.75" customHeight="1">
      <c r="A420" s="130" t="s">
        <v>25</v>
      </c>
      <c r="B420" s="130" t="s">
        <v>26</v>
      </c>
      <c r="C420" s="130" t="s">
        <v>9</v>
      </c>
      <c r="D420" s="135" t="s">
        <v>584</v>
      </c>
      <c r="E420" s="135" t="s">
        <v>585</v>
      </c>
      <c r="F420" s="135" t="s">
        <v>586</v>
      </c>
      <c r="G420" s="136">
        <v>225000</v>
      </c>
      <c r="H420" s="137">
        <v>45792</v>
      </c>
      <c r="I420" s="115" t="str">
        <f>IF(N420&gt;1,"group","individual")</f>
        <v>individual</v>
      </c>
      <c r="J420" s="135"/>
      <c r="K420" s="140">
        <v>1</v>
      </c>
      <c r="L420" s="132"/>
      <c r="M420" s="132"/>
      <c r="N420" s="115">
        <f>SUM(J420:K420)</f>
        <v>1</v>
      </c>
      <c r="O420" s="115">
        <f>SUM(L420:M420)</f>
        <v>0</v>
      </c>
      <c r="P420" s="132"/>
      <c r="Q420" s="140" t="s">
        <v>30</v>
      </c>
      <c r="R420" s="142">
        <v>45959</v>
      </c>
    </row>
    <row r="421" spans="1:18" ht="15.75" customHeight="1">
      <c r="A421" s="130" t="s">
        <v>25</v>
      </c>
      <c r="B421" s="130" t="s">
        <v>26</v>
      </c>
      <c r="C421" s="130" t="s">
        <v>9</v>
      </c>
      <c r="D421" s="130" t="s">
        <v>584</v>
      </c>
      <c r="E421" s="130" t="s">
        <v>688</v>
      </c>
      <c r="F421" s="130" t="s">
        <v>502</v>
      </c>
      <c r="G421" s="143">
        <v>150000</v>
      </c>
      <c r="H421" s="131">
        <v>45930</v>
      </c>
      <c r="I421" s="115" t="str">
        <f>IF(N421&gt;1,"group","individual")</f>
        <v>group</v>
      </c>
      <c r="J421" s="132"/>
      <c r="K421" s="133">
        <v>2</v>
      </c>
      <c r="L421" s="132"/>
      <c r="M421" s="132"/>
      <c r="N421" s="115">
        <f>SUM(J421:K421)</f>
        <v>2</v>
      </c>
      <c r="O421" s="115">
        <f>SUM(L421:M421)</f>
        <v>0</v>
      </c>
      <c r="P421" s="132"/>
      <c r="Q421" s="140" t="s">
        <v>30</v>
      </c>
      <c r="R421" s="142">
        <v>45959</v>
      </c>
    </row>
    <row r="422" spans="1:18" ht="15.75" customHeight="1">
      <c r="A422" s="130" t="s">
        <v>25</v>
      </c>
      <c r="B422" s="130" t="s">
        <v>26</v>
      </c>
      <c r="C422" s="130" t="s">
        <v>9</v>
      </c>
      <c r="D422" s="130" t="s">
        <v>584</v>
      </c>
      <c r="E422" s="130" t="s">
        <v>689</v>
      </c>
      <c r="F422" s="130" t="s">
        <v>684</v>
      </c>
      <c r="G422" s="143">
        <v>75000</v>
      </c>
      <c r="H422" s="131">
        <v>45930</v>
      </c>
      <c r="I422" s="115" t="str">
        <f>IF(N422&gt;1,"group","individual")</f>
        <v>individual</v>
      </c>
      <c r="J422" s="132"/>
      <c r="K422" s="133">
        <v>1</v>
      </c>
      <c r="L422" s="132"/>
      <c r="M422" s="132"/>
      <c r="N422" s="115">
        <f>SUM(J422:K422)</f>
        <v>1</v>
      </c>
      <c r="O422" s="115">
        <f>SUM(L422:M422)</f>
        <v>0</v>
      </c>
      <c r="P422" s="132"/>
      <c r="Q422" s="140" t="s">
        <v>30</v>
      </c>
      <c r="R422" s="142">
        <v>45959</v>
      </c>
    </row>
    <row r="423" spans="1:18" ht="15.75" customHeight="1">
      <c r="A423" s="130" t="s">
        <v>25</v>
      </c>
      <c r="B423" s="130" t="s">
        <v>26</v>
      </c>
      <c r="C423" s="130" t="s">
        <v>9</v>
      </c>
      <c r="D423" s="130" t="s">
        <v>584</v>
      </c>
      <c r="E423" s="130" t="s">
        <v>690</v>
      </c>
      <c r="F423" s="130" t="s">
        <v>641</v>
      </c>
      <c r="G423" s="143">
        <v>75000</v>
      </c>
      <c r="H423" s="131">
        <v>45930</v>
      </c>
      <c r="I423" s="115" t="str">
        <f>IF(N423&gt;1,"group","individual")</f>
        <v>individual</v>
      </c>
      <c r="J423" s="133">
        <v>1</v>
      </c>
      <c r="K423" s="132"/>
      <c r="L423" s="132"/>
      <c r="M423" s="132"/>
      <c r="N423" s="115">
        <f>SUM(J423:K423)</f>
        <v>1</v>
      </c>
      <c r="O423" s="115">
        <f>SUM(L423:M423)</f>
        <v>0</v>
      </c>
      <c r="P423" s="132"/>
      <c r="Q423" s="140" t="s">
        <v>30</v>
      </c>
      <c r="R423" s="142">
        <v>45959</v>
      </c>
    </row>
    <row r="424" spans="1:18" ht="15.75" customHeight="1">
      <c r="A424" s="130" t="s">
        <v>25</v>
      </c>
      <c r="B424" s="130" t="s">
        <v>26</v>
      </c>
      <c r="C424" s="130" t="s">
        <v>9</v>
      </c>
      <c r="D424" s="130" t="s">
        <v>584</v>
      </c>
      <c r="E424" s="130" t="s">
        <v>691</v>
      </c>
      <c r="F424" s="130" t="s">
        <v>52</v>
      </c>
      <c r="G424" s="143">
        <v>75000</v>
      </c>
      <c r="H424" s="131">
        <v>45930</v>
      </c>
      <c r="I424" s="115" t="str">
        <f>IF(N424&gt;1,"group","individual")</f>
        <v>individual</v>
      </c>
      <c r="J424" s="132"/>
      <c r="K424" s="133">
        <v>1</v>
      </c>
      <c r="L424" s="132"/>
      <c r="M424" s="132"/>
      <c r="N424" s="115">
        <f>SUM(J424:K424)</f>
        <v>1</v>
      </c>
      <c r="O424" s="115">
        <f>SUM(L424:M424)</f>
        <v>0</v>
      </c>
      <c r="P424" s="132"/>
      <c r="Q424" s="140" t="s">
        <v>30</v>
      </c>
      <c r="R424" s="142">
        <v>45959</v>
      </c>
    </row>
    <row r="425" spans="1:18" ht="15.75" customHeight="1">
      <c r="A425" s="130" t="s">
        <v>25</v>
      </c>
      <c r="B425" s="130" t="s">
        <v>26</v>
      </c>
      <c r="C425" s="130" t="s">
        <v>9</v>
      </c>
      <c r="D425" s="130" t="s">
        <v>584</v>
      </c>
      <c r="E425" s="130" t="s">
        <v>692</v>
      </c>
      <c r="F425" s="132" t="s">
        <v>403</v>
      </c>
      <c r="G425" s="143">
        <v>75000</v>
      </c>
      <c r="H425" s="131">
        <v>45930</v>
      </c>
      <c r="I425" s="115" t="str">
        <f>IF(N425&gt;1,"group","individual")</f>
        <v>individual</v>
      </c>
      <c r="J425" s="132"/>
      <c r="K425" s="133">
        <v>1</v>
      </c>
      <c r="L425" s="132"/>
      <c r="M425" s="132"/>
      <c r="N425" s="115">
        <f>SUM(J425:K425)</f>
        <v>1</v>
      </c>
      <c r="O425" s="115">
        <f>SUM(L425:M425)</f>
        <v>0</v>
      </c>
      <c r="P425" s="132"/>
      <c r="Q425" s="140" t="s">
        <v>30</v>
      </c>
      <c r="R425" s="142">
        <v>45959</v>
      </c>
    </row>
    <row r="426" spans="1:18" ht="15.75" customHeight="1">
      <c r="A426" s="130" t="s">
        <v>25</v>
      </c>
      <c r="B426" s="130" t="s">
        <v>26</v>
      </c>
      <c r="C426" s="130" t="s">
        <v>9</v>
      </c>
      <c r="D426" s="130" t="s">
        <v>584</v>
      </c>
      <c r="E426" s="132" t="s">
        <v>693</v>
      </c>
      <c r="F426" s="130" t="s">
        <v>457</v>
      </c>
      <c r="G426" s="143">
        <v>150000</v>
      </c>
      <c r="H426" s="131">
        <v>45930</v>
      </c>
      <c r="I426" s="115" t="str">
        <f>IF(N426&gt;1,"group","individual")</f>
        <v>group</v>
      </c>
      <c r="J426" s="132"/>
      <c r="K426" s="133">
        <v>2</v>
      </c>
      <c r="L426" s="132"/>
      <c r="M426" s="132"/>
      <c r="N426" s="115">
        <f>SUM(J426:K426)</f>
        <v>2</v>
      </c>
      <c r="O426" s="115">
        <f>SUM(L426:M426)</f>
        <v>0</v>
      </c>
      <c r="P426" s="130"/>
      <c r="Q426" s="140" t="s">
        <v>30</v>
      </c>
      <c r="R426" s="142">
        <v>45959</v>
      </c>
    </row>
    <row r="427" spans="1:18" ht="15.75" customHeight="1">
      <c r="A427" s="130" t="s">
        <v>25</v>
      </c>
      <c r="B427" s="130" t="s">
        <v>26</v>
      </c>
      <c r="C427" s="130" t="s">
        <v>9</v>
      </c>
      <c r="D427" s="130" t="s">
        <v>584</v>
      </c>
      <c r="E427" s="130" t="s">
        <v>694</v>
      </c>
      <c r="F427" s="130" t="s">
        <v>695</v>
      </c>
      <c r="G427" s="143">
        <v>225000</v>
      </c>
      <c r="H427" s="131">
        <v>45930</v>
      </c>
      <c r="I427" s="115" t="str">
        <f>IF(N427&gt;1,"group","individual")</f>
        <v>group</v>
      </c>
      <c r="J427" s="133">
        <v>3</v>
      </c>
      <c r="K427" s="133">
        <v>1</v>
      </c>
      <c r="L427" s="132"/>
      <c r="M427" s="132"/>
      <c r="N427" s="115">
        <f>SUM(J427:K427)</f>
        <v>4</v>
      </c>
      <c r="O427" s="115">
        <f>SUM(L427:M427)</f>
        <v>0</v>
      </c>
      <c r="P427" s="130"/>
      <c r="Q427" s="140" t="s">
        <v>30</v>
      </c>
      <c r="R427" s="142">
        <v>45959</v>
      </c>
    </row>
    <row r="428" spans="1:18" ht="15.75" customHeight="1">
      <c r="A428" s="130" t="s">
        <v>25</v>
      </c>
      <c r="B428" s="130" t="s">
        <v>26</v>
      </c>
      <c r="C428" s="130" t="s">
        <v>9</v>
      </c>
      <c r="D428" s="130" t="s">
        <v>584</v>
      </c>
      <c r="E428" s="130" t="s">
        <v>696</v>
      </c>
      <c r="F428" s="130" t="s">
        <v>457</v>
      </c>
      <c r="G428" s="143">
        <v>225001</v>
      </c>
      <c r="H428" s="131">
        <v>45930</v>
      </c>
      <c r="I428" s="115" t="str">
        <f>IF(N428&gt;1,"group","individual")</f>
        <v>group</v>
      </c>
      <c r="J428" s="132"/>
      <c r="K428" s="133">
        <v>3</v>
      </c>
      <c r="L428" s="132"/>
      <c r="M428" s="132"/>
      <c r="N428" s="115">
        <f>SUM(J428:K428)</f>
        <v>3</v>
      </c>
      <c r="O428" s="115">
        <f>SUM(L428:M428)</f>
        <v>0</v>
      </c>
      <c r="P428" s="132"/>
      <c r="Q428" s="130" t="s">
        <v>30</v>
      </c>
      <c r="R428" s="142">
        <v>45959</v>
      </c>
    </row>
    <row r="429" spans="1:18" ht="15.75" customHeight="1">
      <c r="A429" s="130" t="s">
        <v>25</v>
      </c>
      <c r="B429" s="130" t="s">
        <v>26</v>
      </c>
      <c r="C429" s="130" t="s">
        <v>9</v>
      </c>
      <c r="D429" s="130" t="s">
        <v>584</v>
      </c>
      <c r="E429" s="130" t="s">
        <v>697</v>
      </c>
      <c r="F429" s="130" t="s">
        <v>698</v>
      </c>
      <c r="G429" s="133">
        <v>75000</v>
      </c>
      <c r="H429" s="131">
        <v>45930</v>
      </c>
      <c r="I429" s="115" t="str">
        <f>IF(N429&gt;1,"group","individual")</f>
        <v>individual</v>
      </c>
      <c r="J429" s="132"/>
      <c r="K429" s="133">
        <v>1</v>
      </c>
      <c r="L429" s="132"/>
      <c r="M429" s="132"/>
      <c r="N429" s="115">
        <f>SUM(J429:K429)</f>
        <v>1</v>
      </c>
      <c r="O429" s="115">
        <f>SUM(L429:M429)</f>
        <v>0</v>
      </c>
      <c r="P429" s="130"/>
      <c r="Q429" s="132" t="s">
        <v>30</v>
      </c>
      <c r="R429" s="142">
        <v>45959</v>
      </c>
    </row>
    <row r="430" spans="1:18" ht="15.75" customHeight="1">
      <c r="A430" s="130" t="s">
        <v>25</v>
      </c>
      <c r="B430" s="130" t="s">
        <v>26</v>
      </c>
      <c r="C430" s="130" t="s">
        <v>9</v>
      </c>
      <c r="D430" s="130" t="s">
        <v>584</v>
      </c>
      <c r="E430" s="130" t="s">
        <v>699</v>
      </c>
      <c r="F430" s="130" t="s">
        <v>502</v>
      </c>
      <c r="G430" s="133">
        <v>75000</v>
      </c>
      <c r="H430" s="131">
        <v>45930</v>
      </c>
      <c r="I430" s="115" t="str">
        <f>IF(N430&gt;1,"group","individual")</f>
        <v>individual</v>
      </c>
      <c r="J430" s="132"/>
      <c r="K430" s="133">
        <v>1</v>
      </c>
      <c r="L430" s="132"/>
      <c r="M430" s="132"/>
      <c r="N430" s="115">
        <f>SUM(J430:K430)</f>
        <v>1</v>
      </c>
      <c r="O430" s="115">
        <f>SUM(L430:M430)</f>
        <v>0</v>
      </c>
      <c r="P430" s="130"/>
      <c r="Q430" s="132" t="s">
        <v>30</v>
      </c>
      <c r="R430" s="142">
        <v>45959</v>
      </c>
    </row>
    <row r="431" spans="1:18" ht="15.75" customHeight="1">
      <c r="A431" s="130" t="s">
        <v>25</v>
      </c>
      <c r="B431" s="130" t="s">
        <v>26</v>
      </c>
      <c r="C431" s="130" t="s">
        <v>9</v>
      </c>
      <c r="D431" s="130" t="s">
        <v>584</v>
      </c>
      <c r="E431" s="130" t="s">
        <v>700</v>
      </c>
      <c r="F431" s="130" t="s">
        <v>431</v>
      </c>
      <c r="G431" s="133">
        <v>75000</v>
      </c>
      <c r="H431" s="131">
        <v>45930</v>
      </c>
      <c r="I431" s="115" t="str">
        <f>IF(N431&gt;1,"group","individual")</f>
        <v>individual</v>
      </c>
      <c r="J431" s="132"/>
      <c r="K431" s="133">
        <v>1</v>
      </c>
      <c r="L431" s="132"/>
      <c r="M431" s="132"/>
      <c r="N431" s="115">
        <f>SUM(J431:K431)</f>
        <v>1</v>
      </c>
      <c r="O431" s="115">
        <f>SUM(L431:M431)</f>
        <v>0</v>
      </c>
      <c r="P431" s="182"/>
      <c r="Q431" s="182" t="s">
        <v>30</v>
      </c>
      <c r="R431" s="194">
        <v>45959</v>
      </c>
    </row>
    <row r="432" spans="1:18" ht="15.75" customHeight="1">
      <c r="F432" s="1"/>
    </row>
    <row r="433" spans="6:6" ht="15.75" customHeight="1">
      <c r="F433" s="1"/>
    </row>
    <row r="434" spans="6:6" ht="15.75" customHeight="1">
      <c r="F434" s="1"/>
    </row>
    <row r="435" spans="6:6" ht="15.75" customHeight="1">
      <c r="F435" s="1"/>
    </row>
    <row r="436" spans="6:6" ht="15.75" customHeight="1">
      <c r="F436" s="1"/>
    </row>
    <row r="437" spans="6:6" ht="15.75" customHeight="1">
      <c r="F437" s="1"/>
    </row>
    <row r="438" spans="6:6" ht="15.75" customHeight="1">
      <c r="F438" s="1"/>
    </row>
    <row r="439" spans="6:6" ht="15.75" customHeight="1">
      <c r="F439" s="1"/>
    </row>
    <row r="440" spans="6:6" ht="15.75" customHeight="1">
      <c r="F440" s="1"/>
    </row>
    <row r="441" spans="6:6" ht="15.75" customHeight="1">
      <c r="F441" s="1"/>
    </row>
    <row r="442" spans="6:6" ht="15.75" customHeight="1">
      <c r="F442" s="1"/>
    </row>
    <row r="443" spans="6:6" ht="15.75" customHeight="1">
      <c r="F443" s="1"/>
    </row>
    <row r="444" spans="6:6" ht="15.75" customHeight="1">
      <c r="F444" s="1"/>
    </row>
    <row r="445" spans="6:6" ht="15.75" customHeight="1">
      <c r="F445" s="1"/>
    </row>
    <row r="446" spans="6:6" ht="15.75" customHeight="1">
      <c r="F446" s="1"/>
    </row>
    <row r="447" spans="6:6" ht="15.75" customHeight="1">
      <c r="F447" s="1"/>
    </row>
    <row r="448" spans="6:6" ht="15.75" customHeight="1">
      <c r="F448" s="1"/>
    </row>
    <row r="449" spans="6:6" ht="15.75" customHeight="1">
      <c r="F449" s="1"/>
    </row>
    <row r="450" spans="6:6" ht="15.75" customHeight="1">
      <c r="F450" s="1"/>
    </row>
    <row r="451" spans="6:6" ht="15.75" customHeight="1">
      <c r="F451" s="1"/>
    </row>
    <row r="452" spans="6:6" ht="15.75" customHeight="1">
      <c r="F452" s="1"/>
    </row>
    <row r="453" spans="6:6" ht="15.75" customHeight="1">
      <c r="F453" s="1"/>
    </row>
    <row r="454" spans="6:6" ht="15.75" customHeight="1">
      <c r="F454" s="1"/>
    </row>
    <row r="455" spans="6:6" ht="15.75" customHeight="1">
      <c r="F455" s="1"/>
    </row>
    <row r="456" spans="6:6" ht="15.75" customHeight="1">
      <c r="F456" s="1"/>
    </row>
    <row r="457" spans="6:6" ht="15.75" customHeight="1">
      <c r="F457" s="1"/>
    </row>
    <row r="458" spans="6:6" ht="15.75" customHeight="1">
      <c r="F458" s="1"/>
    </row>
    <row r="459" spans="6:6" ht="15.75" customHeight="1">
      <c r="F459" s="1"/>
    </row>
    <row r="460" spans="6:6" ht="15.75" customHeight="1">
      <c r="F460" s="1"/>
    </row>
    <row r="461" spans="6:6" ht="15.75" customHeight="1">
      <c r="F461" s="1"/>
    </row>
    <row r="462" spans="6:6" ht="15.75" customHeight="1">
      <c r="F462" s="1"/>
    </row>
    <row r="463" spans="6:6" ht="15.75" customHeight="1">
      <c r="F463" s="1"/>
    </row>
    <row r="464" spans="6:6" ht="15.75" customHeight="1">
      <c r="F464" s="1"/>
    </row>
    <row r="465" spans="6:6" ht="15.75" customHeight="1">
      <c r="F465" s="1"/>
    </row>
    <row r="466" spans="6:6" ht="15.75" customHeight="1">
      <c r="F466" s="1"/>
    </row>
    <row r="467" spans="6:6" ht="15.75" customHeight="1">
      <c r="F467" s="1"/>
    </row>
    <row r="468" spans="6:6" ht="15.75" customHeight="1">
      <c r="F468" s="1"/>
    </row>
    <row r="469" spans="6:6" ht="15.75" customHeight="1">
      <c r="F469" s="1"/>
    </row>
    <row r="470" spans="6:6" ht="15.75" customHeight="1">
      <c r="F470" s="1"/>
    </row>
    <row r="471" spans="6:6" ht="15.75" customHeight="1">
      <c r="F471" s="1"/>
    </row>
    <row r="472" spans="6:6" ht="15.75" customHeight="1">
      <c r="F472" s="1"/>
    </row>
    <row r="473" spans="6:6" ht="15.75" customHeight="1">
      <c r="F473" s="1"/>
    </row>
    <row r="474" spans="6:6" ht="15.75" customHeight="1">
      <c r="F474" s="1"/>
    </row>
    <row r="475" spans="6:6" ht="15.75" customHeight="1">
      <c r="F475" s="1"/>
    </row>
    <row r="476" spans="6:6" ht="15.75" customHeight="1">
      <c r="F476" s="1"/>
    </row>
    <row r="477" spans="6:6" ht="15.75" customHeight="1">
      <c r="F477" s="1"/>
    </row>
    <row r="478" spans="6:6" ht="15.75" customHeight="1">
      <c r="F478" s="1"/>
    </row>
    <row r="479" spans="6:6" ht="15.75" customHeight="1">
      <c r="F479" s="1"/>
    </row>
    <row r="480" spans="6:6" ht="15.75" customHeight="1">
      <c r="F480" s="1"/>
    </row>
    <row r="481" spans="6:6" ht="15.75" customHeight="1">
      <c r="F481" s="1"/>
    </row>
    <row r="482" spans="6:6" ht="15.75" customHeight="1">
      <c r="F482" s="1"/>
    </row>
    <row r="483" spans="6:6" ht="15.75" customHeight="1">
      <c r="F483" s="1"/>
    </row>
    <row r="484" spans="6:6" ht="15.75" customHeight="1">
      <c r="F484" s="1"/>
    </row>
    <row r="485" spans="6:6" ht="15.75" customHeight="1">
      <c r="F485" s="1"/>
    </row>
    <row r="486" spans="6:6" ht="15.75" customHeight="1">
      <c r="F486" s="1"/>
    </row>
    <row r="487" spans="6:6" ht="15.75" customHeight="1">
      <c r="F487" s="1"/>
    </row>
    <row r="488" spans="6:6" ht="15.75" customHeight="1">
      <c r="F488" s="1"/>
    </row>
    <row r="489" spans="6:6" ht="15.75" customHeight="1">
      <c r="F489" s="1"/>
    </row>
    <row r="490" spans="6:6" ht="15.75" customHeight="1">
      <c r="F490" s="1"/>
    </row>
    <row r="491" spans="6:6" ht="15.75" customHeight="1">
      <c r="F491" s="1"/>
    </row>
    <row r="492" spans="6:6" ht="15.75" customHeight="1">
      <c r="F492" s="1"/>
    </row>
    <row r="493" spans="6:6" ht="15.75" customHeight="1">
      <c r="F493" s="1"/>
    </row>
    <row r="494" spans="6:6" ht="15.75" customHeight="1">
      <c r="F494" s="1"/>
    </row>
    <row r="495" spans="6:6" ht="15.75" customHeight="1">
      <c r="F495" s="1"/>
    </row>
    <row r="496" spans="6:6" ht="15.75" customHeight="1">
      <c r="F496" s="1"/>
    </row>
    <row r="497" spans="6:6" ht="15.75" customHeight="1">
      <c r="F497" s="1"/>
    </row>
    <row r="498" spans="6:6" ht="15.75" customHeight="1">
      <c r="F498" s="1"/>
    </row>
    <row r="499" spans="6:6" ht="15.75" customHeight="1">
      <c r="F499" s="1"/>
    </row>
    <row r="500" spans="6:6" ht="15.75" customHeight="1">
      <c r="F500" s="1"/>
    </row>
    <row r="501" spans="6:6" ht="15.75" customHeight="1">
      <c r="F501" s="1"/>
    </row>
    <row r="502" spans="6:6" ht="15.75" customHeight="1">
      <c r="F502" s="1"/>
    </row>
    <row r="503" spans="6:6" ht="15.75" customHeight="1">
      <c r="F503" s="1"/>
    </row>
    <row r="504" spans="6:6" ht="15.75" customHeight="1">
      <c r="F504" s="1"/>
    </row>
    <row r="505" spans="6:6" ht="15.75" customHeight="1">
      <c r="F505" s="1"/>
    </row>
    <row r="506" spans="6:6" ht="15.75" customHeight="1">
      <c r="F506" s="1"/>
    </row>
    <row r="507" spans="6:6" ht="15.75" customHeight="1">
      <c r="F507" s="1"/>
    </row>
    <row r="508" spans="6:6" ht="15.75" customHeight="1">
      <c r="F508" s="1"/>
    </row>
    <row r="509" spans="6:6" ht="15.75" customHeight="1">
      <c r="F509" s="1"/>
    </row>
    <row r="510" spans="6:6" ht="15.75" customHeight="1">
      <c r="F510" s="1"/>
    </row>
    <row r="511" spans="6:6" ht="15.75" customHeight="1">
      <c r="F511" s="1"/>
    </row>
    <row r="512" spans="6:6" ht="15.75" customHeight="1">
      <c r="F512" s="1"/>
    </row>
    <row r="513" spans="6:6" ht="15.75" customHeight="1">
      <c r="F513" s="1"/>
    </row>
    <row r="514" spans="6:6" ht="15.75" customHeight="1">
      <c r="F514" s="1"/>
    </row>
    <row r="515" spans="6:6" ht="15.75" customHeight="1">
      <c r="F515" s="1"/>
    </row>
    <row r="516" spans="6:6" ht="15.75" customHeight="1">
      <c r="F516" s="1"/>
    </row>
    <row r="517" spans="6:6" ht="15.75" customHeight="1">
      <c r="F517" s="1"/>
    </row>
    <row r="518" spans="6:6" ht="15.75" customHeight="1">
      <c r="F518" s="1"/>
    </row>
    <row r="519" spans="6:6" ht="15.75" customHeight="1">
      <c r="F519" s="1"/>
    </row>
    <row r="520" spans="6:6" ht="15.75" customHeight="1">
      <c r="F520" s="1"/>
    </row>
    <row r="521" spans="6:6" ht="15.75" customHeight="1">
      <c r="F521" s="1"/>
    </row>
    <row r="522" spans="6:6" ht="15.75" customHeight="1">
      <c r="F522" s="1"/>
    </row>
    <row r="523" spans="6:6" ht="15.75" customHeight="1">
      <c r="F523" s="1"/>
    </row>
    <row r="524" spans="6:6" ht="15.75" customHeight="1">
      <c r="F524" s="1"/>
    </row>
    <row r="525" spans="6:6" ht="15.75" customHeight="1">
      <c r="F525" s="1"/>
    </row>
    <row r="526" spans="6:6" ht="15.75" customHeight="1">
      <c r="F526" s="1"/>
    </row>
    <row r="527" spans="6:6" ht="15.75" customHeight="1">
      <c r="F527" s="1"/>
    </row>
    <row r="528" spans="6:6" ht="15.75" customHeight="1">
      <c r="F528" s="1"/>
    </row>
    <row r="529" spans="6:6" ht="15.75" customHeight="1">
      <c r="F529" s="1"/>
    </row>
    <row r="530" spans="6:6" ht="15.75" customHeight="1">
      <c r="F530" s="1"/>
    </row>
    <row r="531" spans="6:6" ht="15.75" customHeight="1">
      <c r="F531" s="1"/>
    </row>
    <row r="532" spans="6:6" ht="15.75" customHeight="1">
      <c r="F532" s="1"/>
    </row>
    <row r="533" spans="6:6" ht="15.75" customHeight="1">
      <c r="F533" s="1"/>
    </row>
    <row r="534" spans="6:6" ht="15.75" customHeight="1">
      <c r="F534" s="1"/>
    </row>
    <row r="535" spans="6:6" ht="15.75" customHeight="1">
      <c r="F535" s="1"/>
    </row>
    <row r="536" spans="6:6" ht="15.75" customHeight="1">
      <c r="F536" s="1"/>
    </row>
    <row r="537" spans="6:6" ht="15.75" customHeight="1">
      <c r="F537" s="1"/>
    </row>
    <row r="538" spans="6:6" ht="15.75" customHeight="1">
      <c r="F538" s="1"/>
    </row>
    <row r="539" spans="6:6" ht="15.75" customHeight="1">
      <c r="F539" s="1"/>
    </row>
    <row r="540" spans="6:6" ht="15.75" customHeight="1">
      <c r="F540" s="1"/>
    </row>
    <row r="541" spans="6:6" ht="15.75" customHeight="1">
      <c r="F541" s="1"/>
    </row>
    <row r="542" spans="6:6" ht="15.75" customHeight="1">
      <c r="F542" s="1"/>
    </row>
    <row r="543" spans="6:6" ht="15.75" customHeight="1">
      <c r="F543" s="1"/>
    </row>
    <row r="544" spans="6:6" ht="15.75" customHeight="1">
      <c r="F544" s="1"/>
    </row>
    <row r="545" spans="6:6" ht="15.75" customHeight="1">
      <c r="F545" s="1"/>
    </row>
    <row r="546" spans="6:6" ht="15.75" customHeight="1">
      <c r="F546" s="1"/>
    </row>
    <row r="547" spans="6:6" ht="15.75" customHeight="1">
      <c r="F547" s="1"/>
    </row>
    <row r="548" spans="6:6" ht="15.75" customHeight="1">
      <c r="F548" s="1"/>
    </row>
    <row r="549" spans="6:6" ht="15.75" customHeight="1">
      <c r="F549" s="1"/>
    </row>
    <row r="550" spans="6:6" ht="15.75" customHeight="1">
      <c r="F550" s="1"/>
    </row>
    <row r="551" spans="6:6" ht="15.75" customHeight="1">
      <c r="F551" s="1"/>
    </row>
    <row r="552" spans="6:6" ht="15.75" customHeight="1">
      <c r="F552" s="1"/>
    </row>
    <row r="553" spans="6:6" ht="15.75" customHeight="1">
      <c r="F553" s="1"/>
    </row>
    <row r="554" spans="6:6" ht="15.75" customHeight="1">
      <c r="F554" s="1"/>
    </row>
    <row r="555" spans="6:6" ht="15.75" customHeight="1">
      <c r="F555" s="1"/>
    </row>
    <row r="556" spans="6:6" ht="15.75" customHeight="1">
      <c r="F556" s="1"/>
    </row>
    <row r="557" spans="6:6" ht="15.75" customHeight="1">
      <c r="F557" s="1"/>
    </row>
    <row r="558" spans="6:6" ht="15.75" customHeight="1">
      <c r="F558" s="1"/>
    </row>
    <row r="559" spans="6:6" ht="15.75" customHeight="1">
      <c r="F559" s="1"/>
    </row>
    <row r="560" spans="6:6" ht="15.75" customHeight="1">
      <c r="F560" s="1"/>
    </row>
    <row r="561" spans="6:6" ht="15.75" customHeight="1">
      <c r="F561" s="1"/>
    </row>
    <row r="562" spans="6:6" ht="15.75" customHeight="1">
      <c r="F562" s="1"/>
    </row>
    <row r="563" spans="6:6" ht="15.75" customHeight="1">
      <c r="F563" s="1"/>
    </row>
    <row r="564" spans="6:6" ht="15.75" customHeight="1">
      <c r="F564" s="1"/>
    </row>
    <row r="565" spans="6:6" ht="15.75" customHeight="1">
      <c r="F565" s="1"/>
    </row>
    <row r="566" spans="6:6" ht="15.75" customHeight="1">
      <c r="F566" s="1"/>
    </row>
    <row r="567" spans="6:6" ht="15.75" customHeight="1">
      <c r="F567" s="1"/>
    </row>
    <row r="568" spans="6:6" ht="15.75" customHeight="1">
      <c r="F568" s="1"/>
    </row>
    <row r="569" spans="6:6" ht="15.75" customHeight="1">
      <c r="F569" s="1"/>
    </row>
    <row r="570" spans="6:6" ht="15.75" customHeight="1">
      <c r="F570" s="1"/>
    </row>
    <row r="571" spans="6:6" ht="15.75" customHeight="1">
      <c r="F571" s="1"/>
    </row>
    <row r="572" spans="6:6" ht="15.75" customHeight="1">
      <c r="F572" s="1"/>
    </row>
    <row r="573" spans="6:6" ht="15.75" customHeight="1">
      <c r="F573" s="1"/>
    </row>
    <row r="574" spans="6:6" ht="15.75" customHeight="1">
      <c r="F574" s="1"/>
    </row>
    <row r="575" spans="6:6" ht="15.75" customHeight="1">
      <c r="F575" s="1"/>
    </row>
    <row r="576" spans="6:6" ht="15.75" customHeight="1">
      <c r="F576" s="1"/>
    </row>
    <row r="577" spans="6:6" ht="15.75" customHeight="1">
      <c r="F577" s="1"/>
    </row>
    <row r="578" spans="6:6" ht="15.75" customHeight="1">
      <c r="F578" s="1"/>
    </row>
    <row r="579" spans="6:6" ht="15.75" customHeight="1">
      <c r="F579" s="1"/>
    </row>
    <row r="580" spans="6:6" ht="15.75" customHeight="1">
      <c r="F580" s="1"/>
    </row>
    <row r="581" spans="6:6" ht="15.75" customHeight="1">
      <c r="F581" s="1"/>
    </row>
    <row r="582" spans="6:6" ht="15.75" customHeight="1">
      <c r="F582" s="1"/>
    </row>
    <row r="583" spans="6:6" ht="15.75" customHeight="1">
      <c r="F583" s="1"/>
    </row>
    <row r="584" spans="6:6" ht="15.75" customHeight="1">
      <c r="F584" s="1"/>
    </row>
    <row r="585" spans="6:6" ht="15.75" customHeight="1">
      <c r="F585" s="1"/>
    </row>
    <row r="586" spans="6:6" ht="15.75" customHeight="1">
      <c r="F586" s="1"/>
    </row>
    <row r="587" spans="6:6" ht="15.75" customHeight="1">
      <c r="F587" s="1"/>
    </row>
    <row r="588" spans="6:6" ht="15.75" customHeight="1">
      <c r="F588" s="1"/>
    </row>
    <row r="589" spans="6:6" ht="15.75" customHeight="1">
      <c r="F589" s="1"/>
    </row>
    <row r="590" spans="6:6" ht="15.75" customHeight="1">
      <c r="F590" s="1"/>
    </row>
    <row r="591" spans="6:6" ht="15.75" customHeight="1">
      <c r="F591" s="1"/>
    </row>
    <row r="592" spans="6:6" ht="15.75" customHeight="1">
      <c r="F592" s="1"/>
    </row>
    <row r="593" spans="6:6" ht="15.75" customHeight="1">
      <c r="F593" s="1"/>
    </row>
    <row r="594" spans="6:6" ht="15.75" customHeight="1">
      <c r="F594" s="1"/>
    </row>
    <row r="595" spans="6:6" ht="15.75" customHeight="1">
      <c r="F595" s="1"/>
    </row>
    <row r="596" spans="6:6" ht="15.75" customHeight="1">
      <c r="F596" s="1"/>
    </row>
    <row r="597" spans="6:6" ht="15.75" customHeight="1">
      <c r="F597" s="1"/>
    </row>
    <row r="598" spans="6:6" ht="15.75" customHeight="1">
      <c r="F598" s="1"/>
    </row>
    <row r="599" spans="6:6" ht="15.75" customHeight="1">
      <c r="F599" s="1"/>
    </row>
    <row r="600" spans="6:6" ht="15.75" customHeight="1">
      <c r="F600" s="1"/>
    </row>
    <row r="601" spans="6:6" ht="15.75" customHeight="1">
      <c r="F601" s="1"/>
    </row>
    <row r="602" spans="6:6" ht="15.75" customHeight="1">
      <c r="F602" s="1"/>
    </row>
    <row r="603" spans="6:6" ht="15.75" customHeight="1">
      <c r="F603" s="1"/>
    </row>
    <row r="604" spans="6:6" ht="15.75" customHeight="1">
      <c r="F604" s="1"/>
    </row>
    <row r="605" spans="6:6" ht="15.75" customHeight="1">
      <c r="F605" s="1"/>
    </row>
    <row r="606" spans="6:6" ht="15.75" customHeight="1">
      <c r="F606" s="1"/>
    </row>
    <row r="607" spans="6:6" ht="15.75" customHeight="1">
      <c r="F607" s="1"/>
    </row>
    <row r="608" spans="6:6" ht="15.75" customHeight="1">
      <c r="F608" s="1"/>
    </row>
    <row r="609" spans="6:6" ht="15.75" customHeight="1">
      <c r="F609" s="1"/>
    </row>
    <row r="610" spans="6:6" ht="15.75" customHeight="1">
      <c r="F610" s="1"/>
    </row>
    <row r="611" spans="6:6" ht="15.75" customHeight="1">
      <c r="F611" s="1"/>
    </row>
    <row r="612" spans="6:6" ht="15.75" customHeight="1">
      <c r="F612" s="1"/>
    </row>
    <row r="613" spans="6:6" ht="15.75" customHeight="1">
      <c r="F613" s="1"/>
    </row>
    <row r="614" spans="6:6" ht="15.75" customHeight="1">
      <c r="F614" s="1"/>
    </row>
    <row r="615" spans="6:6" ht="15.75" customHeight="1">
      <c r="F615" s="1"/>
    </row>
    <row r="616" spans="6:6" ht="15.75" customHeight="1">
      <c r="F616" s="1"/>
    </row>
    <row r="617" spans="6:6" ht="15.75" customHeight="1">
      <c r="F617" s="1"/>
    </row>
    <row r="618" spans="6:6" ht="15.75" customHeight="1">
      <c r="F618" s="1"/>
    </row>
    <row r="619" spans="6:6" ht="15.75" customHeight="1">
      <c r="F619" s="1"/>
    </row>
    <row r="620" spans="6:6" ht="15.75" customHeight="1">
      <c r="F620" s="1"/>
    </row>
    <row r="621" spans="6:6" ht="15.75" customHeight="1">
      <c r="F621" s="1"/>
    </row>
    <row r="622" spans="6:6" ht="15.75" customHeight="1">
      <c r="F622" s="1"/>
    </row>
    <row r="623" spans="6:6" ht="15.75" customHeight="1">
      <c r="F623" s="1"/>
    </row>
    <row r="624" spans="6:6" ht="15.75" customHeight="1">
      <c r="F624" s="1"/>
    </row>
    <row r="625" spans="6:6" ht="15.75" customHeight="1">
      <c r="F625" s="1"/>
    </row>
    <row r="626" spans="6:6" ht="15.75" customHeight="1">
      <c r="F626" s="1"/>
    </row>
    <row r="627" spans="6:6" ht="15.75" customHeight="1">
      <c r="F627" s="1"/>
    </row>
    <row r="628" spans="6:6" ht="15.75" customHeight="1">
      <c r="F628" s="1"/>
    </row>
    <row r="629" spans="6:6" ht="15.75" customHeight="1">
      <c r="F629" s="1"/>
    </row>
    <row r="630" spans="6:6" ht="15.75" customHeight="1">
      <c r="F630" s="1"/>
    </row>
    <row r="631" spans="6:6" ht="15.75" customHeight="1">
      <c r="F631" s="1"/>
    </row>
    <row r="632" spans="6:6" ht="15.75" customHeight="1">
      <c r="F632" s="1"/>
    </row>
    <row r="633" spans="6:6" ht="15.75" customHeight="1">
      <c r="F633" s="1"/>
    </row>
    <row r="634" spans="6:6" ht="15.75" customHeight="1">
      <c r="F634" s="1"/>
    </row>
    <row r="635" spans="6:6" ht="15.75" customHeight="1">
      <c r="F635" s="1"/>
    </row>
    <row r="636" spans="6:6" ht="15.75" customHeight="1">
      <c r="F636" s="1"/>
    </row>
    <row r="637" spans="6:6" ht="15.75" customHeight="1">
      <c r="F637" s="1"/>
    </row>
    <row r="638" spans="6:6" ht="15.75" customHeight="1">
      <c r="F638" s="1"/>
    </row>
    <row r="639" spans="6:6" ht="15.75" customHeight="1">
      <c r="F639" s="1"/>
    </row>
    <row r="640" spans="6:6" ht="15.75" customHeight="1">
      <c r="F640" s="1"/>
    </row>
    <row r="641" spans="6:6" ht="15.75" customHeight="1">
      <c r="F641" s="1"/>
    </row>
    <row r="642" spans="6:6" ht="15.75" customHeight="1">
      <c r="F642" s="1"/>
    </row>
    <row r="643" spans="6:6" ht="15.75" customHeight="1">
      <c r="F643" s="1"/>
    </row>
    <row r="644" spans="6:6" ht="15.75" customHeight="1">
      <c r="F644" s="1"/>
    </row>
    <row r="645" spans="6:6" ht="15.75" customHeight="1">
      <c r="F645" s="1"/>
    </row>
    <row r="646" spans="6:6" ht="15.75" customHeight="1">
      <c r="F646" s="1"/>
    </row>
    <row r="647" spans="6:6" ht="15.75" customHeight="1">
      <c r="F647" s="1"/>
    </row>
    <row r="648" spans="6:6" ht="15.75" customHeight="1">
      <c r="F648" s="1"/>
    </row>
    <row r="649" spans="6:6" ht="15.75" customHeight="1">
      <c r="F649" s="1"/>
    </row>
    <row r="650" spans="6:6" ht="15.75" customHeight="1">
      <c r="F650" s="1"/>
    </row>
    <row r="651" spans="6:6" ht="15.75" customHeight="1">
      <c r="F651" s="1"/>
    </row>
    <row r="652" spans="6:6" ht="15.75" customHeight="1">
      <c r="F652" s="1"/>
    </row>
    <row r="653" spans="6:6" ht="15.75" customHeight="1">
      <c r="F653" s="1"/>
    </row>
    <row r="654" spans="6:6" ht="15.75" customHeight="1">
      <c r="F654" s="1"/>
    </row>
    <row r="655" spans="6:6" ht="15.75" customHeight="1">
      <c r="F655" s="1"/>
    </row>
    <row r="656" spans="6:6" ht="15.75" customHeight="1">
      <c r="F656" s="1"/>
    </row>
    <row r="657" spans="6:6" ht="15.75" customHeight="1">
      <c r="F657" s="1"/>
    </row>
    <row r="658" spans="6:6" ht="15.75" customHeight="1">
      <c r="F658" s="1"/>
    </row>
    <row r="659" spans="6:6" ht="15.75" customHeight="1">
      <c r="F659" s="1"/>
    </row>
    <row r="660" spans="6:6" ht="15.75" customHeight="1">
      <c r="F660" s="1"/>
    </row>
    <row r="661" spans="6:6" ht="15.75" customHeight="1">
      <c r="F661" s="1"/>
    </row>
    <row r="662" spans="6:6" ht="15.75" customHeight="1">
      <c r="F662" s="1"/>
    </row>
    <row r="663" spans="6:6" ht="15.75" customHeight="1">
      <c r="F663" s="1"/>
    </row>
    <row r="664" spans="6:6" ht="15.75" customHeight="1">
      <c r="F664" s="1"/>
    </row>
    <row r="665" spans="6:6" ht="15.75" customHeight="1">
      <c r="F665" s="1"/>
    </row>
    <row r="666" spans="6:6" ht="15.75" customHeight="1">
      <c r="F666" s="1"/>
    </row>
    <row r="667" spans="6:6" ht="15.75" customHeight="1">
      <c r="F667" s="1"/>
    </row>
    <row r="668" spans="6:6" ht="15.75" customHeight="1">
      <c r="F668" s="1"/>
    </row>
    <row r="669" spans="6:6" ht="15.75" customHeight="1">
      <c r="F669" s="1"/>
    </row>
    <row r="670" spans="6:6" ht="15.75" customHeight="1">
      <c r="F670" s="1"/>
    </row>
    <row r="671" spans="6:6" ht="15.75" customHeight="1">
      <c r="F671" s="1"/>
    </row>
    <row r="672" spans="6:6" ht="15.75" customHeight="1">
      <c r="F672" s="1"/>
    </row>
    <row r="673" spans="6:6" ht="15.75" customHeight="1">
      <c r="F673" s="1"/>
    </row>
    <row r="674" spans="6:6" ht="15.75" customHeight="1">
      <c r="F674" s="1"/>
    </row>
    <row r="675" spans="6:6" ht="15.75" customHeight="1">
      <c r="F675" s="1"/>
    </row>
    <row r="676" spans="6:6" ht="15.75" customHeight="1">
      <c r="F676" s="1"/>
    </row>
    <row r="677" spans="6:6" ht="15.75" customHeight="1">
      <c r="F677" s="1"/>
    </row>
    <row r="678" spans="6:6" ht="15.75" customHeight="1">
      <c r="F678" s="1"/>
    </row>
    <row r="679" spans="6:6" ht="15.75" customHeight="1">
      <c r="F679" s="1"/>
    </row>
    <row r="680" spans="6:6" ht="15.75" customHeight="1">
      <c r="F680" s="1"/>
    </row>
    <row r="681" spans="6:6" ht="15.75" customHeight="1">
      <c r="F681" s="1"/>
    </row>
    <row r="682" spans="6:6" ht="15.75" customHeight="1">
      <c r="F682" s="1"/>
    </row>
    <row r="683" spans="6:6" ht="15.75" customHeight="1">
      <c r="F683" s="1"/>
    </row>
    <row r="684" spans="6:6" ht="15.75" customHeight="1">
      <c r="F684" s="1"/>
    </row>
    <row r="685" spans="6:6" ht="15.75" customHeight="1">
      <c r="F685" s="1"/>
    </row>
    <row r="686" spans="6:6" ht="15.75" customHeight="1">
      <c r="F686" s="1"/>
    </row>
    <row r="687" spans="6:6" ht="15.75" customHeight="1">
      <c r="F687" s="1"/>
    </row>
    <row r="688" spans="6:6" ht="15.75" customHeight="1">
      <c r="F688" s="1"/>
    </row>
    <row r="689" spans="6:6" ht="15.75" customHeight="1">
      <c r="F689" s="1"/>
    </row>
    <row r="690" spans="6:6" ht="15.75" customHeight="1">
      <c r="F690" s="1"/>
    </row>
    <row r="691" spans="6:6" ht="15.75" customHeight="1">
      <c r="F691" s="1"/>
    </row>
    <row r="692" spans="6:6" ht="15.75" customHeight="1">
      <c r="F692" s="1"/>
    </row>
    <row r="693" spans="6:6" ht="15.75" customHeight="1">
      <c r="F693" s="1"/>
    </row>
    <row r="694" spans="6:6" ht="15.75" customHeight="1">
      <c r="F694" s="1"/>
    </row>
    <row r="695" spans="6:6" ht="15.75" customHeight="1">
      <c r="F695" s="1"/>
    </row>
    <row r="696" spans="6:6" ht="15.75" customHeight="1">
      <c r="F696" s="1"/>
    </row>
    <row r="697" spans="6:6" ht="15.75" customHeight="1">
      <c r="F697" s="1"/>
    </row>
    <row r="698" spans="6:6" ht="15.75" customHeight="1">
      <c r="F698" s="1"/>
    </row>
    <row r="699" spans="6:6" ht="15.75" customHeight="1">
      <c r="F699" s="1"/>
    </row>
    <row r="700" spans="6:6" ht="15.75" customHeight="1">
      <c r="F700" s="1"/>
    </row>
    <row r="701" spans="6:6" ht="15.75" customHeight="1">
      <c r="F701" s="1"/>
    </row>
    <row r="702" spans="6:6" ht="15.75" customHeight="1">
      <c r="F702" s="1"/>
    </row>
    <row r="703" spans="6:6" ht="15.75" customHeight="1">
      <c r="F703" s="1"/>
    </row>
    <row r="704" spans="6:6" ht="15.75" customHeight="1">
      <c r="F704" s="1"/>
    </row>
    <row r="705" spans="6:6" ht="15.75" customHeight="1">
      <c r="F705" s="1"/>
    </row>
    <row r="706" spans="6:6" ht="15.75" customHeight="1">
      <c r="F706" s="1"/>
    </row>
    <row r="707" spans="6:6" ht="15.75" customHeight="1">
      <c r="F707" s="1"/>
    </row>
    <row r="708" spans="6:6" ht="15.75" customHeight="1">
      <c r="F708" s="1"/>
    </row>
    <row r="709" spans="6:6" ht="15.75" customHeight="1">
      <c r="F709" s="1"/>
    </row>
    <row r="710" spans="6:6" ht="15.75" customHeight="1">
      <c r="F710" s="1"/>
    </row>
    <row r="711" spans="6:6" ht="15.75" customHeight="1">
      <c r="F711" s="1"/>
    </row>
    <row r="712" spans="6:6" ht="15.75" customHeight="1">
      <c r="F712" s="1"/>
    </row>
    <row r="713" spans="6:6" ht="15.75" customHeight="1">
      <c r="F713" s="1"/>
    </row>
    <row r="714" spans="6:6" ht="15.75" customHeight="1">
      <c r="F714" s="1"/>
    </row>
    <row r="715" spans="6:6" ht="15.75" customHeight="1">
      <c r="F715" s="1"/>
    </row>
    <row r="716" spans="6:6" ht="15.75" customHeight="1">
      <c r="F716" s="1"/>
    </row>
    <row r="717" spans="6:6" ht="15.75" customHeight="1">
      <c r="F717" s="1"/>
    </row>
    <row r="718" spans="6:6" ht="15.75" customHeight="1">
      <c r="F718" s="1"/>
    </row>
    <row r="719" spans="6:6" ht="15.75" customHeight="1">
      <c r="F719" s="1"/>
    </row>
    <row r="720" spans="6:6" ht="15.75" customHeight="1">
      <c r="F720" s="1"/>
    </row>
    <row r="721" spans="6:6" ht="15.75" customHeight="1">
      <c r="F721" s="1"/>
    </row>
    <row r="722" spans="6:6" ht="15.75" customHeight="1">
      <c r="F722" s="1"/>
    </row>
    <row r="723" spans="6:6" ht="15.75" customHeight="1">
      <c r="F723" s="1"/>
    </row>
    <row r="724" spans="6:6" ht="15.75" customHeight="1">
      <c r="F724" s="1"/>
    </row>
    <row r="725" spans="6:6" ht="15.75" customHeight="1">
      <c r="F725" s="1"/>
    </row>
    <row r="726" spans="6:6" ht="15.75" customHeight="1">
      <c r="F726" s="1"/>
    </row>
    <row r="727" spans="6:6" ht="15.75" customHeight="1">
      <c r="F727" s="1"/>
    </row>
    <row r="728" spans="6:6" ht="15.75" customHeight="1">
      <c r="F728" s="1"/>
    </row>
    <row r="729" spans="6:6" ht="15.75" customHeight="1">
      <c r="F729" s="1"/>
    </row>
    <row r="730" spans="6:6" ht="15.75" customHeight="1">
      <c r="F730" s="1"/>
    </row>
    <row r="731" spans="6:6" ht="15.75" customHeight="1">
      <c r="F731" s="1"/>
    </row>
    <row r="732" spans="6:6" ht="15.75" customHeight="1">
      <c r="F732" s="1"/>
    </row>
    <row r="733" spans="6:6" ht="15.75" customHeight="1">
      <c r="F733" s="1"/>
    </row>
    <row r="734" spans="6:6" ht="15.75" customHeight="1">
      <c r="F734" s="1"/>
    </row>
    <row r="735" spans="6:6" ht="15.75" customHeight="1">
      <c r="F735" s="1"/>
    </row>
    <row r="736" spans="6:6" ht="15.75" customHeight="1">
      <c r="F736" s="1"/>
    </row>
    <row r="737" spans="6:6" ht="15.75" customHeight="1">
      <c r="F737" s="1"/>
    </row>
    <row r="738" spans="6:6" ht="15.75" customHeight="1">
      <c r="F738" s="1"/>
    </row>
    <row r="739" spans="6:6" ht="15.75" customHeight="1">
      <c r="F739" s="1"/>
    </row>
    <row r="740" spans="6:6" ht="15.75" customHeight="1">
      <c r="F740" s="1"/>
    </row>
    <row r="741" spans="6:6" ht="15.75" customHeight="1">
      <c r="F741" s="1"/>
    </row>
    <row r="742" spans="6:6" ht="15.75" customHeight="1">
      <c r="F742" s="1"/>
    </row>
    <row r="743" spans="6:6" ht="15.75" customHeight="1">
      <c r="F743" s="1"/>
    </row>
    <row r="744" spans="6:6" ht="15.75" customHeight="1">
      <c r="F744" s="1"/>
    </row>
    <row r="745" spans="6:6" ht="15.75" customHeight="1">
      <c r="F745" s="1"/>
    </row>
    <row r="746" spans="6:6" ht="15.75" customHeight="1">
      <c r="F746" s="1"/>
    </row>
    <row r="747" spans="6:6" ht="15.75" customHeight="1">
      <c r="F747" s="1"/>
    </row>
    <row r="748" spans="6:6" ht="15.75" customHeight="1">
      <c r="F748" s="1"/>
    </row>
    <row r="749" spans="6:6" ht="15.75" customHeight="1">
      <c r="F749" s="1"/>
    </row>
    <row r="750" spans="6:6" ht="15.75" customHeight="1">
      <c r="F750" s="1"/>
    </row>
    <row r="751" spans="6:6" ht="15.75" customHeight="1">
      <c r="F751" s="1"/>
    </row>
    <row r="752" spans="6:6" ht="15.75" customHeight="1">
      <c r="F752" s="1"/>
    </row>
    <row r="753" spans="6:6" ht="15.75" customHeight="1">
      <c r="F753" s="1"/>
    </row>
    <row r="754" spans="6:6" ht="15.75" customHeight="1">
      <c r="F754" s="1"/>
    </row>
    <row r="755" spans="6:6" ht="15.75" customHeight="1">
      <c r="F755" s="1"/>
    </row>
    <row r="756" spans="6:6" ht="15.75" customHeight="1">
      <c r="F756" s="1"/>
    </row>
    <row r="757" spans="6:6" ht="15.75" customHeight="1">
      <c r="F757" s="1"/>
    </row>
    <row r="758" spans="6:6" ht="15.75" customHeight="1">
      <c r="F758" s="1"/>
    </row>
    <row r="759" spans="6:6" ht="15.75" customHeight="1">
      <c r="F759" s="1"/>
    </row>
    <row r="760" spans="6:6" ht="15.75" customHeight="1">
      <c r="F760" s="1"/>
    </row>
    <row r="761" spans="6:6" ht="15.75" customHeight="1">
      <c r="F761" s="1"/>
    </row>
    <row r="762" spans="6:6" ht="15.75" customHeight="1">
      <c r="F762" s="1"/>
    </row>
    <row r="763" spans="6:6" ht="15.75" customHeight="1">
      <c r="F763" s="1"/>
    </row>
    <row r="764" spans="6:6" ht="15.75" customHeight="1">
      <c r="F764" s="1"/>
    </row>
    <row r="765" spans="6:6" ht="15.75" customHeight="1">
      <c r="F765" s="1"/>
    </row>
    <row r="766" spans="6:6" ht="15.75" customHeight="1">
      <c r="F766" s="1"/>
    </row>
    <row r="767" spans="6:6" ht="15.75" customHeight="1">
      <c r="F767" s="1"/>
    </row>
    <row r="768" spans="6:6" ht="15.75" customHeight="1">
      <c r="F768" s="1"/>
    </row>
    <row r="769" spans="6:6" ht="15.75" customHeight="1">
      <c r="F769" s="1"/>
    </row>
    <row r="770" spans="6:6" ht="15.75" customHeight="1">
      <c r="F770" s="1"/>
    </row>
    <row r="771" spans="6:6" ht="15.75" customHeight="1">
      <c r="F771" s="1"/>
    </row>
    <row r="772" spans="6:6" ht="15.75" customHeight="1">
      <c r="F772" s="1"/>
    </row>
    <row r="773" spans="6:6" ht="15.75" customHeight="1">
      <c r="F773" s="1"/>
    </row>
    <row r="774" spans="6:6" ht="15.75" customHeight="1">
      <c r="F774" s="1"/>
    </row>
    <row r="775" spans="6:6" ht="15.75" customHeight="1">
      <c r="F775" s="1"/>
    </row>
    <row r="776" spans="6:6" ht="15.75" customHeight="1">
      <c r="F776" s="1"/>
    </row>
    <row r="777" spans="6:6" ht="15.75" customHeight="1">
      <c r="F777" s="1"/>
    </row>
    <row r="778" spans="6:6" ht="15.75" customHeight="1">
      <c r="F778" s="1"/>
    </row>
    <row r="779" spans="6:6" ht="15.75" customHeight="1">
      <c r="F779" s="1"/>
    </row>
    <row r="780" spans="6:6" ht="15.75" customHeight="1">
      <c r="F780" s="1"/>
    </row>
    <row r="781" spans="6:6" ht="15.75" customHeight="1">
      <c r="F781" s="1"/>
    </row>
    <row r="782" spans="6:6" ht="15.75" customHeight="1">
      <c r="F782" s="1"/>
    </row>
    <row r="783" spans="6:6" ht="15.75" customHeight="1">
      <c r="F783" s="1"/>
    </row>
    <row r="784" spans="6:6" ht="15.75" customHeight="1">
      <c r="F784" s="1"/>
    </row>
    <row r="785" spans="6:6" ht="15.75" customHeight="1">
      <c r="F785" s="1"/>
    </row>
    <row r="786" spans="6:6" ht="15.75" customHeight="1">
      <c r="F786" s="1"/>
    </row>
    <row r="787" spans="6:6" ht="15.75" customHeight="1">
      <c r="F787" s="1"/>
    </row>
    <row r="788" spans="6:6" ht="15.75" customHeight="1">
      <c r="F788" s="1"/>
    </row>
    <row r="789" spans="6:6" ht="15.75" customHeight="1">
      <c r="F789" s="1"/>
    </row>
    <row r="790" spans="6:6" ht="15.75" customHeight="1">
      <c r="F790" s="1"/>
    </row>
    <row r="791" spans="6:6" ht="15.75" customHeight="1">
      <c r="F791" s="1"/>
    </row>
    <row r="792" spans="6:6" ht="15.75" customHeight="1">
      <c r="F792" s="1"/>
    </row>
    <row r="793" spans="6:6" ht="15.75" customHeight="1">
      <c r="F793" s="1"/>
    </row>
    <row r="794" spans="6:6" ht="15.75" customHeight="1">
      <c r="F794" s="1"/>
    </row>
    <row r="795" spans="6:6" ht="15.75" customHeight="1">
      <c r="F795" s="1"/>
    </row>
    <row r="796" spans="6:6" ht="15.75" customHeight="1">
      <c r="F796" s="1"/>
    </row>
    <row r="797" spans="6:6" ht="15.75" customHeight="1">
      <c r="F797" s="1"/>
    </row>
    <row r="798" spans="6:6" ht="15.75" customHeight="1">
      <c r="F798" s="1"/>
    </row>
    <row r="799" spans="6:6" ht="15.75" customHeight="1">
      <c r="F799" s="1"/>
    </row>
    <row r="800" spans="6:6" ht="15.75" customHeight="1">
      <c r="F800" s="1"/>
    </row>
    <row r="801" spans="6:6" ht="15.75" customHeight="1">
      <c r="F801" s="1"/>
    </row>
    <row r="802" spans="6:6" ht="15.75" customHeight="1">
      <c r="F802" s="1"/>
    </row>
    <row r="803" spans="6:6" ht="15.75" customHeight="1">
      <c r="F803" s="1"/>
    </row>
    <row r="804" spans="6:6" ht="15.75" customHeight="1">
      <c r="F804" s="1"/>
    </row>
    <row r="805" spans="6:6" ht="15.75" customHeight="1">
      <c r="F805" s="1"/>
    </row>
    <row r="806" spans="6:6" ht="15.75" customHeight="1">
      <c r="F806" s="1"/>
    </row>
    <row r="807" spans="6:6" ht="15.75" customHeight="1">
      <c r="F807" s="1"/>
    </row>
    <row r="808" spans="6:6" ht="15.75" customHeight="1">
      <c r="F808" s="1"/>
    </row>
    <row r="809" spans="6:6" ht="15.75" customHeight="1">
      <c r="F809" s="1"/>
    </row>
    <row r="810" spans="6:6" ht="15.75" customHeight="1">
      <c r="F810" s="1"/>
    </row>
    <row r="811" spans="6:6" ht="15.75" customHeight="1">
      <c r="F811" s="1"/>
    </row>
    <row r="812" spans="6:6" ht="15.75" customHeight="1">
      <c r="F812" s="1"/>
    </row>
    <row r="813" spans="6:6" ht="15.75" customHeight="1">
      <c r="F813" s="1"/>
    </row>
    <row r="814" spans="6:6" ht="15.75" customHeight="1">
      <c r="F814" s="1"/>
    </row>
    <row r="815" spans="6:6" ht="15.75" customHeight="1">
      <c r="F815" s="1"/>
    </row>
    <row r="816" spans="6:6" ht="15.75" customHeight="1">
      <c r="F816" s="1"/>
    </row>
    <row r="817" spans="6:6" ht="15.75" customHeight="1">
      <c r="F817" s="1"/>
    </row>
    <row r="818" spans="6:6" ht="15.75" customHeight="1">
      <c r="F818" s="1"/>
    </row>
    <row r="819" spans="6:6" ht="15.75" customHeight="1">
      <c r="F819" s="1"/>
    </row>
    <row r="820" spans="6:6" ht="15.75" customHeight="1">
      <c r="F820" s="1"/>
    </row>
    <row r="821" spans="6:6" ht="15.75" customHeight="1">
      <c r="F821" s="1"/>
    </row>
    <row r="822" spans="6:6" ht="15.75" customHeight="1">
      <c r="F822" s="1"/>
    </row>
    <row r="823" spans="6:6" ht="15.75" customHeight="1">
      <c r="F823" s="1"/>
    </row>
    <row r="824" spans="6:6" ht="15.75" customHeight="1">
      <c r="F824" s="1"/>
    </row>
    <row r="825" spans="6:6" ht="15.75" customHeight="1">
      <c r="F825" s="1"/>
    </row>
    <row r="826" spans="6:6" ht="15.75" customHeight="1">
      <c r="F826" s="1"/>
    </row>
    <row r="827" spans="6:6" ht="15.75" customHeight="1">
      <c r="F827" s="1"/>
    </row>
    <row r="828" spans="6:6" ht="15.75" customHeight="1">
      <c r="F828" s="1"/>
    </row>
    <row r="829" spans="6:6" ht="15.75" customHeight="1">
      <c r="F829" s="1"/>
    </row>
    <row r="830" spans="6:6" ht="15.75" customHeight="1">
      <c r="F830" s="1"/>
    </row>
    <row r="831" spans="6:6" ht="15.75" customHeight="1">
      <c r="F831" s="1"/>
    </row>
    <row r="832" spans="6:6" ht="15.75" customHeight="1">
      <c r="F832" s="1"/>
    </row>
    <row r="833" spans="6:6" ht="15.75" customHeight="1">
      <c r="F833" s="1"/>
    </row>
    <row r="834" spans="6:6" ht="15.75" customHeight="1">
      <c r="F834" s="1"/>
    </row>
    <row r="835" spans="6:6" ht="15.75" customHeight="1">
      <c r="F835" s="1"/>
    </row>
    <row r="836" spans="6:6" ht="15.75" customHeight="1">
      <c r="F836" s="1"/>
    </row>
    <row r="837" spans="6:6" ht="15.75" customHeight="1">
      <c r="F837" s="1"/>
    </row>
    <row r="838" spans="6:6" ht="15.75" customHeight="1">
      <c r="F838" s="1"/>
    </row>
    <row r="839" spans="6:6" ht="15.75" customHeight="1">
      <c r="F839" s="1"/>
    </row>
    <row r="840" spans="6:6" ht="15.75" customHeight="1">
      <c r="F840" s="1"/>
    </row>
    <row r="841" spans="6:6" ht="15.75" customHeight="1">
      <c r="F841" s="1"/>
    </row>
    <row r="842" spans="6:6" ht="15.75" customHeight="1">
      <c r="F842" s="1"/>
    </row>
    <row r="843" spans="6:6" ht="15.75" customHeight="1">
      <c r="F843" s="1"/>
    </row>
    <row r="844" spans="6:6" ht="15.75" customHeight="1">
      <c r="F844" s="1"/>
    </row>
    <row r="845" spans="6:6" ht="15.75" customHeight="1">
      <c r="F845" s="1"/>
    </row>
    <row r="846" spans="6:6" ht="15.75" customHeight="1">
      <c r="F846" s="1"/>
    </row>
    <row r="847" spans="6:6" ht="15.75" customHeight="1">
      <c r="F847" s="1"/>
    </row>
    <row r="848" spans="6:6" ht="15.75" customHeight="1">
      <c r="F848" s="1"/>
    </row>
    <row r="849" spans="6:6" ht="15.75" customHeight="1">
      <c r="F849" s="1"/>
    </row>
    <row r="850" spans="6:6" ht="15.75" customHeight="1">
      <c r="F850" s="1"/>
    </row>
    <row r="851" spans="6:6" ht="15.75" customHeight="1">
      <c r="F851" s="1"/>
    </row>
    <row r="852" spans="6:6" ht="15.75" customHeight="1">
      <c r="F852" s="1"/>
    </row>
    <row r="853" spans="6:6" ht="15.75" customHeight="1">
      <c r="F853" s="1"/>
    </row>
    <row r="854" spans="6:6" ht="15.75" customHeight="1">
      <c r="F854" s="1"/>
    </row>
    <row r="855" spans="6:6" ht="15.75" customHeight="1">
      <c r="F855" s="1"/>
    </row>
    <row r="856" spans="6:6" ht="15.75" customHeight="1">
      <c r="F856" s="1"/>
    </row>
    <row r="857" spans="6:6" ht="15.75" customHeight="1">
      <c r="F857" s="1"/>
    </row>
    <row r="858" spans="6:6" ht="15.75" customHeight="1">
      <c r="F858" s="1"/>
    </row>
    <row r="859" spans="6:6" ht="15.75" customHeight="1">
      <c r="F859" s="1"/>
    </row>
    <row r="860" spans="6:6" ht="15.75" customHeight="1">
      <c r="F860" s="1"/>
    </row>
    <row r="861" spans="6:6" ht="15.75" customHeight="1">
      <c r="F861" s="1"/>
    </row>
    <row r="862" spans="6:6" ht="15.75" customHeight="1">
      <c r="F862" s="1"/>
    </row>
    <row r="863" spans="6:6" ht="15.75" customHeight="1">
      <c r="F863" s="1"/>
    </row>
    <row r="864" spans="6:6" ht="15.75" customHeight="1">
      <c r="F864" s="1"/>
    </row>
    <row r="865" spans="6:6" ht="15.75" customHeight="1">
      <c r="F865" s="1"/>
    </row>
    <row r="866" spans="6:6" ht="15.75" customHeight="1">
      <c r="F866" s="1"/>
    </row>
    <row r="867" spans="6:6" ht="15.75" customHeight="1">
      <c r="F867" s="1"/>
    </row>
    <row r="868" spans="6:6" ht="15.75" customHeight="1">
      <c r="F868" s="1"/>
    </row>
    <row r="869" spans="6:6" ht="15.75" customHeight="1">
      <c r="F869" s="1"/>
    </row>
    <row r="870" spans="6:6" ht="15.75" customHeight="1">
      <c r="F870" s="1"/>
    </row>
    <row r="871" spans="6:6" ht="15.75" customHeight="1">
      <c r="F871" s="1"/>
    </row>
    <row r="872" spans="6:6" ht="15.75" customHeight="1">
      <c r="F872" s="1"/>
    </row>
    <row r="873" spans="6:6" ht="15.75" customHeight="1">
      <c r="F873" s="1"/>
    </row>
    <row r="874" spans="6:6" ht="15.75" customHeight="1">
      <c r="F874" s="1"/>
    </row>
    <row r="875" spans="6:6" ht="15.75" customHeight="1">
      <c r="F875" s="1"/>
    </row>
    <row r="876" spans="6:6" ht="15.75" customHeight="1">
      <c r="F876" s="1"/>
    </row>
    <row r="877" spans="6:6" ht="15.75" customHeight="1">
      <c r="F877" s="1"/>
    </row>
    <row r="878" spans="6:6" ht="15.75" customHeight="1">
      <c r="F878" s="1"/>
    </row>
    <row r="879" spans="6:6" ht="15.75" customHeight="1">
      <c r="F879" s="1"/>
    </row>
    <row r="880" spans="6:6" ht="15.75" customHeight="1">
      <c r="F880" s="1"/>
    </row>
    <row r="881" spans="6:6" ht="15.75" customHeight="1">
      <c r="F881" s="1"/>
    </row>
    <row r="882" spans="6:6" ht="15.75" customHeight="1">
      <c r="F882" s="1"/>
    </row>
    <row r="883" spans="6:6" ht="15.75" customHeight="1">
      <c r="F883" s="1"/>
    </row>
    <row r="884" spans="6:6" ht="15.75" customHeight="1">
      <c r="F884" s="1"/>
    </row>
    <row r="885" spans="6:6" ht="15.75" customHeight="1">
      <c r="F885" s="1"/>
    </row>
    <row r="886" spans="6:6" ht="15.75" customHeight="1">
      <c r="F886" s="1"/>
    </row>
    <row r="887" spans="6:6" ht="15.75" customHeight="1">
      <c r="F887" s="1"/>
    </row>
    <row r="888" spans="6:6" ht="15.75" customHeight="1">
      <c r="F888" s="1"/>
    </row>
    <row r="889" spans="6:6" ht="15.75" customHeight="1">
      <c r="F889" s="1"/>
    </row>
    <row r="890" spans="6:6" ht="15.75" customHeight="1">
      <c r="F890" s="1"/>
    </row>
    <row r="891" spans="6:6" ht="15.75" customHeight="1">
      <c r="F891" s="1"/>
    </row>
    <row r="892" spans="6:6" ht="15.75" customHeight="1">
      <c r="F892" s="1"/>
    </row>
    <row r="893" spans="6:6" ht="15.75" customHeight="1">
      <c r="F893" s="1"/>
    </row>
    <row r="894" spans="6:6" ht="15.75" customHeight="1">
      <c r="F894" s="1"/>
    </row>
    <row r="895" spans="6:6" ht="15.75" customHeight="1">
      <c r="F895" s="1"/>
    </row>
    <row r="896" spans="6:6" ht="15.75" customHeight="1">
      <c r="F896" s="1"/>
    </row>
    <row r="897" spans="6:6" ht="15.75" customHeight="1">
      <c r="F897" s="1"/>
    </row>
    <row r="898" spans="6:6" ht="15.75" customHeight="1">
      <c r="F898" s="1"/>
    </row>
    <row r="899" spans="6:6" ht="15.75" customHeight="1">
      <c r="F899" s="1"/>
    </row>
    <row r="900" spans="6:6" ht="15.75" customHeight="1">
      <c r="F900" s="1"/>
    </row>
    <row r="901" spans="6:6" ht="15.75" customHeight="1">
      <c r="F901" s="1"/>
    </row>
    <row r="902" spans="6:6" ht="15.75" customHeight="1">
      <c r="F902" s="1"/>
    </row>
    <row r="903" spans="6:6" ht="15.75" customHeight="1">
      <c r="F903" s="1"/>
    </row>
    <row r="904" spans="6:6" ht="15.75" customHeight="1">
      <c r="F904" s="1"/>
    </row>
    <row r="905" spans="6:6" ht="15.75" customHeight="1">
      <c r="F905" s="1"/>
    </row>
    <row r="906" spans="6:6" ht="15.75" customHeight="1">
      <c r="F906" s="1"/>
    </row>
    <row r="907" spans="6:6" ht="15.75" customHeight="1">
      <c r="F907" s="1"/>
    </row>
    <row r="908" spans="6:6" ht="15.75" customHeight="1">
      <c r="F908" s="1"/>
    </row>
    <row r="909" spans="6:6" ht="15.75" customHeight="1">
      <c r="F909" s="1"/>
    </row>
    <row r="910" spans="6:6" ht="15.75" customHeight="1">
      <c r="F910" s="1"/>
    </row>
    <row r="911" spans="6:6" ht="15.75" customHeight="1">
      <c r="F911" s="1"/>
    </row>
    <row r="912" spans="6:6" ht="15.75" customHeight="1">
      <c r="F912" s="1"/>
    </row>
    <row r="913" spans="6:6" ht="15.75" customHeight="1">
      <c r="F913" s="1"/>
    </row>
    <row r="914" spans="6:6" ht="15.75" customHeight="1">
      <c r="F914" s="1"/>
    </row>
    <row r="915" spans="6:6" ht="15.75" customHeight="1">
      <c r="F915" s="1"/>
    </row>
    <row r="916" spans="6:6" ht="15.75" customHeight="1">
      <c r="F916" s="1"/>
    </row>
    <row r="917" spans="6:6" ht="15.75" customHeight="1">
      <c r="F917" s="1"/>
    </row>
    <row r="918" spans="6:6" ht="15.75" customHeight="1">
      <c r="F918" s="1"/>
    </row>
    <row r="919" spans="6:6" ht="15.75" customHeight="1">
      <c r="F919" s="1"/>
    </row>
    <row r="920" spans="6:6" ht="15.75" customHeight="1">
      <c r="F920" s="1"/>
    </row>
    <row r="921" spans="6:6" ht="15.75" customHeight="1">
      <c r="F921" s="1"/>
    </row>
    <row r="922" spans="6:6" ht="15.75" customHeight="1">
      <c r="F922" s="1"/>
    </row>
    <row r="923" spans="6:6" ht="15.75" customHeight="1">
      <c r="F923" s="1"/>
    </row>
    <row r="924" spans="6:6" ht="15.75" customHeight="1">
      <c r="F924" s="1"/>
    </row>
    <row r="925" spans="6:6" ht="15.75" customHeight="1">
      <c r="F925" s="1"/>
    </row>
    <row r="926" spans="6:6" ht="15.75" customHeight="1">
      <c r="F926" s="1"/>
    </row>
    <row r="927" spans="6:6" ht="15.75" customHeight="1">
      <c r="F927" s="1"/>
    </row>
    <row r="928" spans="6:6" ht="15.75" customHeight="1">
      <c r="F928" s="1"/>
    </row>
    <row r="929" spans="6:6" ht="15.75" customHeight="1">
      <c r="F929" s="1"/>
    </row>
    <row r="930" spans="6:6" ht="15.75" customHeight="1">
      <c r="F930" s="1"/>
    </row>
    <row r="931" spans="6:6" ht="15.75" customHeight="1">
      <c r="F931" s="1"/>
    </row>
    <row r="932" spans="6:6" ht="15.75" customHeight="1">
      <c r="F932" s="1"/>
    </row>
    <row r="933" spans="6:6" ht="15.75" customHeight="1">
      <c r="F933" s="1"/>
    </row>
    <row r="934" spans="6:6" ht="15.75" customHeight="1">
      <c r="F934" s="1"/>
    </row>
    <row r="935" spans="6:6" ht="15.75" customHeight="1">
      <c r="F935" s="1"/>
    </row>
    <row r="936" spans="6:6" ht="15.75" customHeight="1">
      <c r="F936" s="1"/>
    </row>
    <row r="937" spans="6:6" ht="15.75" customHeight="1">
      <c r="F937" s="1"/>
    </row>
    <row r="938" spans="6:6" ht="15.75" customHeight="1">
      <c r="F938" s="1"/>
    </row>
    <row r="939" spans="6:6" ht="15.75" customHeight="1">
      <c r="F939" s="1"/>
    </row>
    <row r="940" spans="6:6" ht="15.75" customHeight="1">
      <c r="F940" s="1"/>
    </row>
    <row r="941" spans="6:6" ht="15.75" customHeight="1">
      <c r="F941" s="1"/>
    </row>
    <row r="942" spans="6:6" ht="15.75" customHeight="1">
      <c r="F942" s="1"/>
    </row>
    <row r="943" spans="6:6" ht="15.75" customHeight="1">
      <c r="F943" s="1"/>
    </row>
    <row r="944" spans="6:6" ht="15.75" customHeight="1">
      <c r="F944" s="1"/>
    </row>
    <row r="945" spans="6:6" ht="15.75" customHeight="1">
      <c r="F945" s="1"/>
    </row>
    <row r="946" spans="6:6" ht="15.75" customHeight="1">
      <c r="F946" s="1"/>
    </row>
    <row r="947" spans="6:6" ht="15.75" customHeight="1">
      <c r="F947" s="1"/>
    </row>
    <row r="948" spans="6:6" ht="15.75" customHeight="1">
      <c r="F948" s="1"/>
    </row>
    <row r="949" spans="6:6" ht="15.75" customHeight="1">
      <c r="F949" s="1"/>
    </row>
    <row r="950" spans="6:6" ht="15.75" customHeight="1">
      <c r="F950" s="1"/>
    </row>
    <row r="951" spans="6:6" ht="15.75" customHeight="1">
      <c r="F951" s="1"/>
    </row>
    <row r="952" spans="6:6" ht="15.75" customHeight="1">
      <c r="F952" s="1"/>
    </row>
    <row r="953" spans="6:6" ht="15.75" customHeight="1">
      <c r="F953" s="1"/>
    </row>
    <row r="954" spans="6:6" ht="15.75" customHeight="1">
      <c r="F954" s="1"/>
    </row>
    <row r="955" spans="6:6" ht="15.75" customHeight="1">
      <c r="F955" s="1"/>
    </row>
    <row r="956" spans="6:6" ht="15.75" customHeight="1">
      <c r="F956" s="1"/>
    </row>
    <row r="957" spans="6:6" ht="15.75" customHeight="1">
      <c r="F957" s="1"/>
    </row>
    <row r="958" spans="6:6" ht="15.75" customHeight="1">
      <c r="F958" s="1"/>
    </row>
    <row r="959" spans="6:6" ht="15.75" customHeight="1">
      <c r="F959" s="1"/>
    </row>
    <row r="960" spans="6:6" ht="15.75" customHeight="1">
      <c r="F960" s="1"/>
    </row>
    <row r="961" spans="6:6" ht="15.75" customHeight="1">
      <c r="F961" s="1"/>
    </row>
    <row r="962" spans="6:6" ht="15.75" customHeight="1">
      <c r="F962" s="1"/>
    </row>
    <row r="963" spans="6:6" ht="15.75" customHeight="1">
      <c r="F963" s="1"/>
    </row>
    <row r="964" spans="6:6" ht="15.75" customHeight="1">
      <c r="F964" s="1"/>
    </row>
    <row r="965" spans="6:6" ht="15.75" customHeight="1">
      <c r="F965" s="1"/>
    </row>
    <row r="966" spans="6:6" ht="15.75" customHeight="1">
      <c r="F966" s="1"/>
    </row>
    <row r="967" spans="6:6" ht="15.75" customHeight="1">
      <c r="F967" s="1"/>
    </row>
    <row r="968" spans="6:6" ht="15.75" customHeight="1">
      <c r="F968" s="1"/>
    </row>
    <row r="969" spans="6:6" ht="15.75" customHeight="1">
      <c r="F969" s="1"/>
    </row>
    <row r="970" spans="6:6" ht="15.75" customHeight="1">
      <c r="F970" s="1"/>
    </row>
    <row r="971" spans="6:6" ht="15.75" customHeight="1">
      <c r="F971" s="1"/>
    </row>
    <row r="972" spans="6:6" ht="15.75" customHeight="1">
      <c r="F972" s="1"/>
    </row>
    <row r="973" spans="6:6" ht="15.75" customHeight="1">
      <c r="F973" s="1"/>
    </row>
    <row r="974" spans="6:6" ht="15.75" customHeight="1">
      <c r="F974" s="1"/>
    </row>
    <row r="975" spans="6:6" ht="15.75" customHeight="1">
      <c r="F975" s="1"/>
    </row>
    <row r="976" spans="6:6" ht="15.75" customHeight="1">
      <c r="F976" s="1"/>
    </row>
    <row r="977" spans="6:6" ht="15.75" customHeight="1">
      <c r="F977" s="1"/>
    </row>
    <row r="978" spans="6:6" ht="15.75" customHeight="1">
      <c r="F978" s="1"/>
    </row>
    <row r="979" spans="6:6" ht="15.75" customHeight="1">
      <c r="F979" s="1"/>
    </row>
    <row r="980" spans="6:6" ht="15.75" customHeight="1">
      <c r="F980" s="1"/>
    </row>
    <row r="981" spans="6:6" ht="15.75" customHeight="1">
      <c r="F981" s="1"/>
    </row>
    <row r="982" spans="6:6" ht="15.75" customHeight="1">
      <c r="F982" s="1"/>
    </row>
    <row r="983" spans="6:6" ht="15.75" customHeight="1">
      <c r="F983" s="1"/>
    </row>
    <row r="984" spans="6:6" ht="15.75" customHeight="1">
      <c r="F984" s="1"/>
    </row>
    <row r="985" spans="6:6" ht="15.75" customHeight="1">
      <c r="F985" s="1"/>
    </row>
    <row r="986" spans="6:6" ht="15.75" customHeight="1">
      <c r="F986" s="1"/>
    </row>
    <row r="987" spans="6:6" ht="15.75" customHeight="1">
      <c r="F987" s="1"/>
    </row>
    <row r="988" spans="6:6" ht="15.75" customHeight="1">
      <c r="F988" s="1"/>
    </row>
    <row r="989" spans="6:6" ht="15.75" customHeight="1">
      <c r="F989" s="1"/>
    </row>
    <row r="990" spans="6:6" ht="15.75" customHeight="1">
      <c r="F990" s="1"/>
    </row>
    <row r="991" spans="6:6" ht="15.75" customHeight="1">
      <c r="F991" s="1"/>
    </row>
    <row r="992" spans="6:6" ht="15.75" customHeight="1">
      <c r="F992" s="1"/>
    </row>
    <row r="993" spans="6:6" ht="15.75" customHeight="1">
      <c r="F993" s="1"/>
    </row>
    <row r="994" spans="6:6" ht="15.75" customHeight="1">
      <c r="F994" s="1"/>
    </row>
    <row r="995" spans="6:6" ht="15.75" customHeight="1">
      <c r="F995" s="1"/>
    </row>
    <row r="996" spans="6:6" ht="15.75" customHeight="1">
      <c r="F996" s="1"/>
    </row>
    <row r="997" spans="6:6" ht="15.75" customHeight="1">
      <c r="F997" s="1"/>
    </row>
    <row r="998" spans="6:6" ht="15.75" customHeight="1">
      <c r="F998" s="1"/>
    </row>
    <row r="999" spans="6:6" ht="15.75" customHeight="1">
      <c r="F999" s="1"/>
    </row>
    <row r="1000" spans="6:6" ht="15.75" customHeight="1">
      <c r="F1000" s="1"/>
    </row>
    <row r="1001" spans="6:6" ht="15.75" customHeight="1">
      <c r="F1001" s="1"/>
    </row>
    <row r="1002" spans="6:6" ht="15.75" customHeight="1">
      <c r="F1002" s="1"/>
    </row>
    <row r="1003" spans="6:6" ht="15.75" customHeight="1">
      <c r="F1003" s="1"/>
    </row>
    <row r="1004" spans="6:6" ht="15.75" customHeight="1">
      <c r="F1004" s="1"/>
    </row>
  </sheetData>
  <autoFilter ref="A1:Q340"/>
  <sortState ref="A2:R1004">
    <sortCondition ref="C1"/>
  </sortState>
  <dataValidations count="1">
    <dataValidation type="list" allowBlank="1" showErrorMessage="1" sqref="F1:F1004">
      <formula1>" Female Beutiy salon , women Butiy salon,Almond preparation ,Animal fatnining,Animal rearining ,Balitna,Baltina ,Baltina production,Bar and resturant ,Barber,Beutiy salon ,Beutiy salon women ,Beuty salon,Bkaery,Bkaery/bread production,Bread production and"&amp;" selling ,Buitiy salon ,Buity salon,Business type,Butique,Butiy salon,Café and restorant,Café and resturant,Candile production,Candle  production/Bajajae service ,Car Décor ,Care sparpartes ,cearial  trading,Cearial  trading,Ceral Trading,Ceral Trading ,C"&amp;"ereal trading,child cloth butik,Cosmotics shope ,Cultural cloth seling,Dairiy farming ,Electronics  ,Electronics  maintenance ,Electronics shope,enjera production and selling ,Fast foods ,Female Butiy Salon ,fire wood selling ,Food product selling,frut se"&amp;"lling ,Game house/sport,Garaje work,Garment and steach,Girocery,Grocery ,Injera prodaction,Injera prodauction,Injera production,injera production,injera production ,Laundery,Laundery Service,laundery Service,Liqud soap production,Liqud soap production ,Lu"&amp;"bricant oil selling ,Male buty salon,Malt production and selling,Meall house ,Men buitysalon ,Men butiy salon (Barber),Milk and millk products selling ,Min- market,Mini market,Mini super market,Minimarket,Mobile card disriution,Mobile Maintenance,Paper ba"&amp;"g production,Photo Copy,Photocopy,photocopy and stationery ,Poultry,poultry ,Poultry  production ,Poultry Production,Poultry production ,printing and copy service ,Pull house ,Religious ornamet  production and selling ,Restorant,Resturant,Sanck house ,San"&amp;"k house ,selling of buity salon equpments ,selling of plastic sheet for floor ,selling orthodox religious equpment ,Shawore service,Sheep rearining ,Sheep rearning ,Sheep trading ,Shiro bet,shiro bet ,shope,Snack  house ,Snak house ,Spices production,Stov"&amp;"e production and mainatanace ,Super market ,Taloring,taloring ,Talorining ,tradtional cloths product ,Tradtional coffe ,used materiyal  buying and recycling ,used materiyal buying &amp;seling ,used materiyal recycling ,wood selling ,Wood work "</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loan dist_data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tempo</dc:creator>
  <cp:lastModifiedBy>tempo</cp:lastModifiedBy>
  <dcterms:created xsi:type="dcterms:W3CDTF">2025-10-07T07:03:15Z</dcterms:created>
  <dcterms:modified xsi:type="dcterms:W3CDTF">2025-10-07T07:09:50Z</dcterms:modified>
</cp:coreProperties>
</file>